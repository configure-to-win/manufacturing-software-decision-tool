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4d779060a4f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tool" sheetId="1" r:id="Rd9f277c755d7415b"/>
    <x:sheet xmlns:r="http://schemas.openxmlformats.org/officeDocument/2006/relationships" name="Requirements matrix" sheetId="2" r:id="Rd221ea7251074522"/>
    <x:sheet xmlns:r="http://schemas.openxmlformats.org/officeDocument/2006/relationships" name="Process ownership" sheetId="3" r:id="R7942ff54b96c4471"/>
    <x:sheet xmlns:r="http://schemas.openxmlformats.org/officeDocument/2006/relationships" name="Scenario library" sheetId="4" r:id="Rad4d7f8a5695412e"/>
    <x:sheet xmlns:r="http://schemas.openxmlformats.org/officeDocument/2006/relationships" name="Worked example" sheetId="5" r:id="Rc7ee5c5ddffe4084"/>
    <x:sheet xmlns:r="http://schemas.openxmlformats.org/officeDocument/2006/relationships" name="Definitions" sheetId="6" r:id="R458317b4495946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1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i/>
      <x:sz val="11"/>
      <x:color rgb="FF475569"/>
      <x:name val="Carlito"/>
    </x:font>
    <x:font>
      <x:b/>
      <x:sz val="11"/>
      <x:color rgb="FF9A3412"/>
      <x:name val="Carlito"/>
    </x:font>
    <x:font>
      <x:sz val="11"/>
      <x:color rgb="FF0F172A"/>
      <x:name val="Carlito"/>
    </x:font>
    <x:font>
      <x:b/>
      <x:sz val="11"/>
      <x:color rgb="FF0B0F1F"/>
      <x:name val="Carlito"/>
    </x:font>
    <x:font>
      <x:sz val="11"/>
      <x:color rgb="FF5B21B6"/>
      <x:name val="Carlito"/>
    </x:font>
    <x:font>
      <x:sz val="11"/>
      <x:color rgb="FFFFFFFF"/>
      <x:name val="Carlito"/>
    </x:font>
    <x:font>
      <x:b/>
      <x:sz val="11"/>
      <x:color rgb="FF5B21B6"/>
      <x:name val="Carlito"/>
    </x:font>
    <x:font>
      <x:sz val="11"/>
      <x:color rgb="FF475569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0B0F1F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FFEDD5"/>
      </x:patternFill>
    </x:fill>
    <x:fill>
      <x:patternFill patternType="solid">
        <x:fgColor rgb="FF5B21B6"/>
      </x:patternFill>
    </x:fill>
    <x:fill>
      <x:patternFill patternType="solid">
        <x:fgColor rgb="FF1B2440"/>
      </x:patternFill>
    </x:fill>
    <x:fill>
      <x:patternFill patternType="solid">
        <x:fgColor rgb="FFF3E8FF"/>
      </x:patternFill>
    </x:fill>
    <x:fill>
      <x:patternFill patternType="solid">
        <x:fgColor rgb="FFECFEFF"/>
      </x:patternFill>
    </x:fill>
    <x:fill>
      <x:patternFill patternType="solid">
        <x:fgColor rgb="FFA3E635"/>
      </x:patternFill>
    </x:fill>
    <x:fill>
      <x:patternFill patternType="solid">
        <x:fgColor rgb="FF5B21B6"/>
      </x:patternFill>
    </x:fill>
    <x:fill>
      <x:patternFill patternType="solid">
        <x:fgColor rgb="FFFFFFFF"/>
      </x:patternFill>
    </x:fill>
    <x:fill>
      <x:patternFill patternType="solid">
        <x:fgColor rgb="FFECFEFF"/>
      </x:patternFill>
    </x:fill>
    <x:fill>
      <x:patternFill patternType="solid">
        <x:fgColor rgb="FF1B2440"/>
      </x:patternFill>
    </x:fill>
    <x:fill>
      <x:patternFill patternType="solid">
        <x:fgColor rgb="FFF8FAFC"/>
      </x:patternFill>
    </x:fill>
  </x:fills>
  <x:borders count="32">
    <x:border/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/>
    </x:xf>
    <x:xf numFmtId="0" fontId="1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left"/>
    </x:xf>
    <x:xf numFmtId="0" fontId="1" fillId="6" borderId="1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2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wrapText="1"/>
    </x:xf>
    <x:xf numFmtId="0" fontId="1" fillId="7" borderId="4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4" xfId="0" applyNumberFormat="1" applyFont="1" applyFill="1" applyBorder="1" applyAlignment="1">
      <x:alignment horizontal="center" wrapText="1"/>
    </x:xf>
    <x:xf numFmtId="0" fontId="1" fillId="7" borderId="2" xfId="0" applyNumberFormat="1" applyFont="1" applyFill="1" applyBorder="1" applyAlignment="1">
      <x:alignment horizontal="center" vertic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1" fillId="7" borderId="4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6" xfId="0" applyNumberFormat="1" applyFont="1" applyFill="1" applyBorder="1" applyAlignment="1">
      <x:alignment wrapText="1"/>
    </x:xf>
    <x:xf numFmtId="0" fontId="1" fillId="7" borderId="7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6" xfId="0" applyNumberFormat="1" applyFont="1" applyFill="1" applyBorder="1" applyAlignment="1">
      <x:alignment horizontal="center" wrapText="1"/>
    </x:xf>
    <x:xf numFmtId="0" fontId="1" fillId="7" borderId="7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1" fillId="7" borderId="6" xfId="0" applyNumberFormat="1" applyFont="1" applyFill="1" applyBorder="1" applyAlignment="1">
      <x:alignment horizontal="center" vertical="center" wrapText="1"/>
    </x:xf>
    <x:xf numFmtId="0" fontId="1" fillId="7" borderId="7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8" xfId="0" applyNumberFormat="1" applyFont="1" applyFill="1" applyBorder="1" applyAlignment="1">
      <x:alignment vertical="center"/>
    </x:xf>
    <x:xf numFmtId="0" fontId="5" fillId="4" borderId="9" xfId="0" applyNumberFormat="1" applyFont="1" applyFill="1" applyBorder="1" applyAlignment="1">
      <x:alignment vertical="center"/>
    </x:xf>
    <x:xf numFmtId="0" fontId="5" fillId="4" borderId="10" xfId="0" applyNumberFormat="1" applyFont="1" applyFill="1" applyBorder="1" applyAlignment="1">
      <x:alignment vertical="center"/>
    </x:xf>
    <x:xf numFmtId="0" fontId="5" fillId="4" borderId="11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2" xfId="0" applyNumberFormat="1" applyFont="1" applyFill="1" applyBorder="1" applyAlignment="1">
      <x:alignment vertical="center"/>
    </x:xf>
    <x:xf numFmtId="0" fontId="5" fillId="4" borderId="13" xfId="0" applyNumberFormat="1" applyFont="1" applyFill="1" applyBorder="1" applyAlignment="1">
      <x:alignment vertical="center"/>
    </x:xf>
    <x:xf numFmtId="0" fontId="5" fillId="4" borderId="14" xfId="0" applyNumberFormat="1" applyFont="1" applyFill="1" applyBorder="1" applyAlignment="1">
      <x:alignment vertical="center"/>
    </x:xf>
    <x:xf numFmtId="0" fontId="5" fillId="4" borderId="15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/>
    <x:xf numFmtId="0" fontId="5" fillId="4" borderId="16" xfId="0" applyNumberFormat="1" applyFont="1" applyFill="1" applyBorder="1"/>
    <x:xf numFmtId="0" fontId="5" fillId="4" borderId="17" xfId="0" applyNumberFormat="1" applyFont="1" applyFill="1" applyBorder="1"/>
    <x:xf numFmtId="0" fontId="5" fillId="4" borderId="18" xfId="0" applyNumberFormat="1" applyFont="1" applyFill="1" applyBorder="1"/>
    <x:xf numFmtId="0" fontId="5" fillId="4" borderId="19" xfId="0" applyNumberFormat="1" applyFont="1" applyFill="1" applyBorder="1"/>
    <x:xf numFmtId="0" fontId="5" fillId="4" borderId="20" xfId="0" applyNumberFormat="1" applyFont="1" applyFill="1" applyBorder="1"/>
    <x:xf numFmtId="0" fontId="5" fillId="4" borderId="21" xfId="0" applyNumberFormat="1" applyFont="1" applyFill="1" applyBorder="1"/>
    <x:xf numFmtId="0" fontId="5" fillId="4" borderId="22" xfId="0" applyNumberFormat="1" applyFont="1" applyFill="1" applyBorder="1"/>
    <x:xf numFmtId="0" fontId="5" fillId="4" borderId="23" xfId="0" applyNumberFormat="1" applyFont="1" applyFill="1" applyBorder="1"/>
    <x:xf numFmtId="0" fontId="5" fillId="4" borderId="16" xfId="0" applyNumberFormat="1" applyFont="1" applyFill="1" applyBorder="1" applyAlignment="1">
      <x:alignment vertical="center"/>
    </x:xf>
    <x:xf numFmtId="0" fontId="5" fillId="4" borderId="17" xfId="0" applyNumberFormat="1" applyFont="1" applyFill="1" applyBorder="1" applyAlignment="1">
      <x:alignment vertical="center"/>
    </x:xf>
    <x:xf numFmtId="0" fontId="5" fillId="4" borderId="18" xfId="0" applyNumberFormat="1" applyFont="1" applyFill="1" applyBorder="1" applyAlignment="1">
      <x:alignment vertical="center"/>
    </x:xf>
    <x:xf numFmtId="0" fontId="5" fillId="4" borderId="19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5" fillId="4" borderId="20" xfId="0" applyNumberFormat="1" applyFont="1" applyFill="1" applyBorder="1" applyAlignment="1">
      <x:alignment vertical="center"/>
    </x:xf>
    <x:xf numFmtId="0" fontId="5" fillId="4" borderId="21" xfId="0" applyNumberFormat="1" applyFont="1" applyFill="1" applyBorder="1" applyAlignment="1">
      <x:alignment vertical="center"/>
    </x:xf>
    <x:xf numFmtId="0" fontId="5" fillId="4" borderId="22" xfId="0" applyNumberFormat="1" applyFont="1" applyFill="1" applyBorder="1" applyAlignment="1">
      <x:alignment vertical="center"/>
    </x:xf>
    <x:xf numFmtId="0" fontId="5" fillId="4" borderId="23" xfId="0" applyNumberFormat="1" applyFont="1" applyFill="1" applyBorder="1" applyAlignment="1">
      <x:alignment vertical="center"/>
    </x:xf>
    <x:xf numFmtId="0" fontId="5" fillId="4" borderId="9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4" xfId="0" applyNumberFormat="1" applyFont="1" applyFill="1" applyBorder="1" applyAlignment="1">
      <x:alignment vertical="center" wrapText="1"/>
    </x:xf>
    <x:xf numFmtId="0" fontId="5" fillId="4" borderId="17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22" xfId="0" applyNumberFormat="1" applyFont="1" applyFill="1" applyBorder="1" applyAlignment="1">
      <x:alignment vertical="center" wrapText="1"/>
    </x:xf>
    <x:xf numFmtId="0" fontId="5" fillId="4" borderId="24" xfId="0" applyNumberFormat="1" applyFont="1" applyFill="1" applyBorder="1" applyAlignment="1">
      <x:alignment vertical="center"/>
    </x:xf>
    <x:xf numFmtId="0" fontId="5" fillId="4" borderId="25" xfId="0" applyNumberFormat="1" applyFont="1" applyFill="1" applyBorder="1" applyAlignment="1">
      <x:alignment vertical="center"/>
    </x:xf>
    <x:xf numFmtId="0" fontId="5" fillId="4" borderId="26" xfId="0" applyNumberFormat="1" applyFont="1" applyFill="1" applyBorder="1" applyAlignment="1">
      <x:alignment vertical="center"/>
    </x:xf>
    <x:xf numFmtId="0" fontId="5" fillId="4" borderId="27" xfId="0" applyNumberFormat="1" applyFont="1" applyFill="1" applyBorder="1" applyAlignment="1">
      <x:alignment vertical="center"/>
    </x:xf>
    <x:xf numFmtId="0" fontId="5" fillId="4" borderId="28" xfId="0" applyNumberFormat="1" applyFont="1" applyFill="1" applyBorder="1" applyAlignment="1">
      <x:alignment vertical="center"/>
    </x:xf>
    <x:xf numFmtId="0" fontId="5" fillId="4" borderId="29" xfId="0" applyNumberFormat="1" applyFont="1" applyFill="1" applyBorder="1" applyAlignment="1">
      <x:alignment vertical="center"/>
    </x:xf>
    <x:xf numFmtId="0" fontId="5" fillId="8" borderId="9" xfId="0" applyNumberFormat="1" applyFont="1" applyFill="1" applyBorder="1" applyAlignment="1">
      <x:alignment vertical="center"/>
    </x:xf>
    <x:xf numFmtId="0" fontId="5" fillId="8" borderId="1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12" xfId="0" applyNumberFormat="1" applyFont="1" applyFill="1" applyBorder="1" applyAlignment="1">
      <x:alignment vertical="center"/>
    </x:xf>
    <x:xf numFmtId="0" fontId="5" fillId="8" borderId="14" xfId="0" applyNumberFormat="1" applyFont="1" applyFill="1" applyBorder="1" applyAlignment="1">
      <x:alignment vertical="center"/>
    </x:xf>
    <x:xf numFmtId="0" fontId="5" fillId="8" borderId="15" xfId="0" applyNumberFormat="1" applyFont="1" applyFill="1" applyBorder="1" applyAlignment="1">
      <x:alignment vertical="center"/>
    </x:xf>
    <x:xf numFmtId="0" fontId="5" fillId="8" borderId="8" xfId="0" applyNumberFormat="1" applyFont="1" applyFill="1" applyBorder="1" applyAlignment="1">
      <x:alignment vertical="center"/>
    </x:xf>
    <x:xf numFmtId="0" fontId="5" fillId="8" borderId="11" xfId="0" applyNumberFormat="1" applyFont="1" applyFill="1" applyBorder="1" applyAlignment="1">
      <x:alignment vertical="center"/>
    </x:xf>
    <x:xf numFmtId="0" fontId="5" fillId="8" borderId="13" xfId="0" applyNumberFormat="1" applyFont="1" applyFill="1" applyBorder="1" applyAlignment="1">
      <x:alignment vertical="center"/>
    </x:xf>
    <x:xf numFmtId="0" fontId="5" fillId="8" borderId="17" xfId="0" applyNumberFormat="1" applyFont="1" applyFill="1" applyBorder="1" applyAlignment="1">
      <x:alignment vertical="center"/>
    </x:xf>
    <x:xf numFmtId="0" fontId="5" fillId="8" borderId="18" xfId="0" applyNumberFormat="1" applyFont="1" applyFill="1" applyBorder="1" applyAlignment="1">
      <x:alignment vertical="center"/>
    </x:xf>
    <x:xf numFmtId="0" fontId="5" fillId="8" borderId="1" xfId="0" applyNumberFormat="1" applyFont="1" applyFill="1" applyBorder="1" applyAlignment="1">
      <x:alignment vertical="center"/>
    </x:xf>
    <x:xf numFmtId="0" fontId="5" fillId="8" borderId="20" xfId="0" applyNumberFormat="1" applyFont="1" applyFill="1" applyBorder="1" applyAlignment="1">
      <x:alignment vertical="center"/>
    </x:xf>
    <x:xf numFmtId="0" fontId="5" fillId="8" borderId="22" xfId="0" applyNumberFormat="1" applyFont="1" applyFill="1" applyBorder="1" applyAlignment="1">
      <x:alignment vertical="center"/>
    </x:xf>
    <x:xf numFmtId="0" fontId="5" fillId="8" borderId="23" xfId="0" applyNumberFormat="1" applyFont="1" applyFill="1" applyBorder="1" applyAlignment="1">
      <x:alignment vertical="center"/>
    </x:xf>
    <x:xf numFmtId="0" fontId="5" fillId="8" borderId="16" xfId="0" applyNumberFormat="1" applyFont="1" applyFill="1" applyBorder="1" applyAlignment="1">
      <x:alignment vertical="center"/>
    </x:xf>
    <x:xf numFmtId="0" fontId="5" fillId="8" borderId="19" xfId="0" applyNumberFormat="1" applyFont="1" applyFill="1" applyBorder="1" applyAlignment="1">
      <x:alignment vertical="center"/>
    </x:xf>
    <x:xf numFmtId="0" fontId="5" fillId="8" borderId="21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horizontal="left" vertical="center"/>
    </x:xf>
    <x:xf numFmtId="0" fontId="1" fillId="7" borderId="1" xfId="0" applyNumberFormat="1" applyFont="1" applyFill="1" applyBorder="1" applyAlignment="1">
      <x:alignment horizontal="left"/>
    </x:xf>
    <x:xf numFmtId="0" fontId="1" fillId="7" borderId="1" xfId="0" applyNumberFormat="1" applyFont="1" applyFill="1" applyBorder="1" applyAlignment="1">
      <x:alignment horizontal="left" vertical="center"/>
    </x:xf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2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5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5" fillId="4" borderId="7" xfId="0" applyNumberFormat="1" applyFont="1" applyFill="1" applyBorder="1" applyAlignment="1">
      <x:alignment vertical="center"/>
    </x:xf>
    <x:xf numFmtId="0" fontId="5" fillId="4" borderId="30" xfId="0" applyNumberFormat="1" applyFont="1" applyFill="1" applyBorder="1"/>
    <x:xf numFmtId="0" fontId="5" fillId="4" borderId="30" xfId="0" applyNumberFormat="1" applyFont="1" applyFill="1" applyBorder="1" applyAlignment="1">
      <x:alignment vertical="center"/>
    </x:xf>
    <x:xf numFmtId="0" fontId="5" fillId="4" borderId="31" xfId="0" applyNumberFormat="1" applyFont="1" applyFill="1" applyBorder="1"/>
    <x:xf numFmtId="0" fontId="5" fillId="4" borderId="31" xfId="0" applyNumberFormat="1" applyFont="1" applyFill="1" applyBorder="1" applyAlignment="1">
      <x:alignment vertical="center"/>
    </x:xf>
    <x:xf numFmtId="0" fontId="5" fillId="4" borderId="24" xfId="0" applyNumberFormat="1" applyFont="1" applyFill="1" applyBorder="1"/>
    <x:xf numFmtId="0" fontId="5" fillId="4" borderId="25" xfId="0" applyNumberFormat="1" applyFont="1" applyFill="1" applyBorder="1"/>
    <x:xf numFmtId="0" fontId="5" fillId="4" borderId="26" xfId="0" applyNumberFormat="1" applyFont="1" applyFill="1" applyBorder="1"/>
    <x:xf numFmtId="0" fontId="5" fillId="4" borderId="27" xfId="0" applyNumberFormat="1" applyFont="1" applyFill="1" applyBorder="1"/>
    <x:xf numFmtId="0" fontId="5" fillId="4" borderId="28" xfId="0" applyNumberFormat="1" applyFont="1" applyFill="1" applyBorder="1"/>
    <x:xf numFmtId="0" fontId="5" fillId="4" borderId="29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24" xfId="0" applyNumberFormat="1" applyFont="1" applyFill="1" applyBorder="1"/>
    <x:xf numFmtId="0" fontId="2" fillId="9" borderId="25" xfId="0" applyNumberFormat="1" applyFont="1" applyFill="1" applyBorder="1"/>
    <x:xf numFmtId="0" fontId="2" fillId="9" borderId="26" xfId="0" applyNumberFormat="1" applyFont="1" applyFill="1" applyBorder="1"/>
    <x:xf numFmtId="0" fontId="2" fillId="9" borderId="24" xfId="0" applyNumberFormat="1" applyFont="1" applyFill="1" applyBorder="1" applyAlignment="1">
      <x:alignment horizontal="center"/>
    </x:xf>
    <x:xf numFmtId="0" fontId="2" fillId="9" borderId="25" xfId="0" applyNumberFormat="1" applyFont="1" applyFill="1" applyBorder="1" applyAlignment="1">
      <x:alignment horizontal="center"/>
    </x:xf>
    <x:xf numFmtId="0" fontId="2" fillId="9" borderId="26" xfId="0" applyNumberFormat="1" applyFont="1" applyFill="1" applyBorder="1" applyAlignment="1">
      <x:alignment horizontal="center"/>
    </x:xf>
    <x:xf numFmtId="0" fontId="2" fillId="9" borderId="24" xfId="0" applyNumberFormat="1" applyFont="1" applyFill="1" applyBorder="1" applyAlignment="1">
      <x:alignment horizontal="center" vertical="center"/>
    </x:xf>
    <x:xf numFmtId="0" fontId="2" fillId="9" borderId="25" xfId="0" applyNumberFormat="1" applyFont="1" applyFill="1" applyBorder="1" applyAlignment="1">
      <x:alignment horizontal="center" vertical="center"/>
    </x:xf>
    <x:xf numFmtId="0" fontId="2" fillId="9" borderId="26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27" xfId="0" applyNumberFormat="1" applyFont="1" applyFill="1" applyBorder="1"/>
    <x:xf numFmtId="0" fontId="2" fillId="9" borderId="28" xfId="0" applyNumberFormat="1" applyFont="1" applyFill="1" applyBorder="1"/>
    <x:xf numFmtId="0" fontId="2" fillId="9" borderId="29" xfId="0" applyNumberFormat="1" applyFont="1" applyFill="1" applyBorder="1"/>
    <x:xf numFmtId="0" fontId="2" fillId="9" borderId="27" xfId="0" applyNumberFormat="1" applyFont="1" applyFill="1" applyBorder="1" applyAlignment="1">
      <x:alignment horizontal="center"/>
    </x:xf>
    <x:xf numFmtId="0" fontId="2" fillId="9" borderId="28" xfId="0" applyNumberFormat="1" applyFont="1" applyFill="1" applyBorder="1" applyAlignment="1">
      <x:alignment horizontal="center"/>
    </x:xf>
    <x:xf numFmtId="0" fontId="2" fillId="9" borderId="29" xfId="0" applyNumberFormat="1" applyFont="1" applyFill="1" applyBorder="1" applyAlignment="1">
      <x:alignment horizontal="center"/>
    </x:xf>
    <x:xf numFmtId="0" fontId="2" fillId="9" borderId="27" xfId="0" applyNumberFormat="1" applyFont="1" applyFill="1" applyBorder="1" applyAlignment="1">
      <x:alignment horizontal="center" vertical="center"/>
    </x:xf>
    <x:xf numFmtId="0" fontId="2" fillId="9" borderId="28" xfId="0" applyNumberFormat="1" applyFont="1" applyFill="1" applyBorder="1" applyAlignment="1">
      <x:alignment horizontal="center" vertical="center"/>
    </x:xf>
    <x:xf numFmtId="0" fontId="2" fillId="9" borderId="29" xfId="0" applyNumberFormat="1" applyFont="1" applyFill="1" applyBorder="1" applyAlignment="1">
      <x:alignment horizontal="center" vertical="center"/>
    </x:xf>
    <x:xf numFmtId="200" fontId="2" fillId="9" borderId="24" xfId="0" applyNumberFormat="1" applyFont="1" applyFill="1" applyBorder="1" applyAlignment="1">
      <x:alignment horizontal="center" vertical="center"/>
    </x:xf>
    <x:xf numFmtId="200" fontId="2" fillId="9" borderId="25" xfId="0" applyNumberFormat="1" applyFont="1" applyFill="1" applyBorder="1" applyAlignment="1">
      <x:alignment horizontal="center" vertical="center"/>
    </x:xf>
    <x:xf numFmtId="200" fontId="2" fillId="9" borderId="26" xfId="0" applyNumberFormat="1" applyFont="1" applyFill="1" applyBorder="1" applyAlignment="1">
      <x:alignment horizontal="center" vertical="center"/>
    </x:xf>
    <x:xf numFmtId="200" fontId="2" fillId="9" borderId="27" xfId="0" applyNumberFormat="1" applyFont="1" applyFill="1" applyBorder="1" applyAlignment="1">
      <x:alignment horizontal="center" vertical="center"/>
    </x:xf>
    <x:xf numFmtId="200" fontId="2" fillId="9" borderId="28" xfId="0" applyNumberFormat="1" applyFont="1" applyFill="1" applyBorder="1" applyAlignment="1">
      <x:alignment horizontal="center" vertical="center"/>
    </x:xf>
    <x:xf numFmtId="200" fontId="2" fillId="9" borderId="29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24" xfId="0" applyNumberFormat="1" applyFont="1" applyFill="1" applyBorder="1"/>
    <x:xf numFmtId="0" fontId="5" fillId="8" borderId="25" xfId="0" applyNumberFormat="1" applyFont="1" applyFill="1" applyBorder="1"/>
    <x:xf numFmtId="0" fontId="5" fillId="8" borderId="26" xfId="0" applyNumberFormat="1" applyFont="1" applyFill="1" applyBorder="1"/>
    <x:xf numFmtId="0" fontId="5" fillId="8" borderId="24" xfId="0" applyNumberFormat="1" applyFont="1" applyFill="1" applyBorder="1" applyAlignment="1">
      <x:alignment vertical="center"/>
    </x:xf>
    <x:xf numFmtId="0" fontId="5" fillId="8" borderId="25" xfId="0" applyNumberFormat="1" applyFont="1" applyFill="1" applyBorder="1" applyAlignment="1">
      <x:alignment vertical="center"/>
    </x:xf>
    <x:xf numFmtId="0" fontId="5" fillId="8" borderId="26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27" xfId="0" applyNumberFormat="1" applyFont="1" applyFill="1" applyBorder="1"/>
    <x:xf numFmtId="0" fontId="5" fillId="8" borderId="28" xfId="0" applyNumberFormat="1" applyFont="1" applyFill="1" applyBorder="1"/>
    <x:xf numFmtId="0" fontId="5" fillId="8" borderId="29" xfId="0" applyNumberFormat="1" applyFont="1" applyFill="1" applyBorder="1"/>
    <x:xf numFmtId="0" fontId="5" fillId="8" borderId="27" xfId="0" applyNumberFormat="1" applyFont="1" applyFill="1" applyBorder="1" applyAlignment="1">
      <x:alignment vertical="center"/>
    </x:xf>
    <x:xf numFmtId="0" fontId="5" fillId="8" borderId="28" xfId="0" applyNumberFormat="1" applyFont="1" applyFill="1" applyBorder="1" applyAlignment="1">
      <x:alignment vertical="center"/>
    </x:xf>
    <x:xf numFmtId="0" fontId="5" fillId="8" borderId="29" xfId="0" applyNumberFormat="1" applyFont="1" applyFill="1" applyBorder="1" applyAlignment="1">
      <x:alignment vertical="center"/>
    </x:xf>
    <x:xf numFmtId="0" fontId="5" fillId="8" borderId="8" xfId="0" applyNumberFormat="1" applyFont="1" applyFill="1" applyBorder="1"/>
    <x:xf numFmtId="0" fontId="5" fillId="8" borderId="9" xfId="0" applyNumberFormat="1" applyFont="1" applyFill="1" applyBorder="1"/>
    <x:xf numFmtId="0" fontId="5" fillId="8" borderId="10" xfId="0" applyNumberFormat="1" applyFont="1" applyFill="1" applyBorder="1"/>
    <x:xf numFmtId="0" fontId="5" fillId="8" borderId="11" xfId="0" applyNumberFormat="1" applyFont="1" applyFill="1" applyBorder="1"/>
    <x:xf numFmtId="0" fontId="5" fillId="8" borderId="12" xfId="0" applyNumberFormat="1" applyFont="1" applyFill="1" applyBorder="1"/>
    <x:xf numFmtId="0" fontId="5" fillId="8" borderId="13" xfId="0" applyNumberFormat="1" applyFont="1" applyFill="1" applyBorder="1"/>
    <x:xf numFmtId="0" fontId="5" fillId="8" borderId="14" xfId="0" applyNumberFormat="1" applyFont="1" applyFill="1" applyBorder="1"/>
    <x:xf numFmtId="0" fontId="5" fillId="8" borderId="15" xfId="0" applyNumberFormat="1" applyFont="1" applyFill="1" applyBorder="1"/>
    <x:xf numFmtId="0" fontId="5" fillId="8" borderId="16" xfId="0" applyNumberFormat="1" applyFont="1" applyFill="1" applyBorder="1"/>
    <x:xf numFmtId="0" fontId="5" fillId="8" borderId="17" xfId="0" applyNumberFormat="1" applyFont="1" applyFill="1" applyBorder="1"/>
    <x:xf numFmtId="0" fontId="5" fillId="8" borderId="18" xfId="0" applyNumberFormat="1" applyFont="1" applyFill="1" applyBorder="1"/>
    <x:xf numFmtId="0" fontId="5" fillId="8" borderId="19" xfId="0" applyNumberFormat="1" applyFont="1" applyFill="1" applyBorder="1"/>
    <x:xf numFmtId="0" fontId="5" fillId="8" borderId="20" xfId="0" applyNumberFormat="1" applyFont="1" applyFill="1" applyBorder="1"/>
    <x:xf numFmtId="0" fontId="5" fillId="8" borderId="21" xfId="0" applyNumberFormat="1" applyFont="1" applyFill="1" applyBorder="1"/>
    <x:xf numFmtId="0" fontId="5" fillId="8" borderId="22" xfId="0" applyNumberFormat="1" applyFont="1" applyFill="1" applyBorder="1"/>
    <x:xf numFmtId="0" fontId="5" fillId="8" borderId="23" xfId="0" applyNumberFormat="1" applyFont="1" applyFill="1" applyBorder="1"/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2" xfId="0" applyNumberFormat="1" applyFont="1" applyFill="1" applyBorder="1"/>
    <x:xf numFmtId="0" fontId="6" fillId="10" borderId="3" xfId="0" applyNumberFormat="1" applyFont="1" applyFill="1" applyBorder="1"/>
    <x:xf numFmtId="0" fontId="6" fillId="10" borderId="4" xfId="0" applyNumberFormat="1" applyFont="1" applyFill="1" applyBorder="1"/>
    <x:xf numFmtId="0" fontId="6" fillId="10" borderId="2" xfId="0" applyNumberFormat="1" applyFont="1" applyFill="1" applyBorder="1" applyAlignment="1">
      <x:alignment wrapText="1"/>
    </x:xf>
    <x:xf numFmtId="0" fontId="6" fillId="10" borderId="3" xfId="0" applyNumberFormat="1" applyFont="1" applyFill="1" applyBorder="1" applyAlignment="1">
      <x:alignment wrapText="1"/>
    </x:xf>
    <x:xf numFmtId="0" fontId="6" fillId="10" borderId="4" xfId="0" applyNumberFormat="1" applyFont="1" applyFill="1" applyBorder="1" applyAlignment="1">
      <x:alignment wrapText="1"/>
    </x:xf>
    <x:xf numFmtId="0" fontId="6" fillId="10" borderId="2" xfId="0" applyNumberFormat="1" applyFont="1" applyFill="1" applyBorder="1" applyAlignment="1">
      <x:alignment horizontal="left" wrapText="1"/>
    </x:xf>
    <x:xf numFmtId="0" fontId="6" fillId="10" borderId="3" xfId="0" applyNumberFormat="1" applyFont="1" applyFill="1" applyBorder="1" applyAlignment="1">
      <x:alignment horizontal="left" wrapText="1"/>
    </x:xf>
    <x:xf numFmtId="0" fontId="6" fillId="10" borderId="4" xfId="0" applyNumberFormat="1" applyFont="1" applyFill="1" applyBorder="1" applyAlignment="1">
      <x:alignment horizontal="left" wrapText="1"/>
    </x:xf>
    <x:xf numFmtId="0" fontId="6" fillId="10" borderId="2" xfId="0" applyNumberFormat="1" applyFont="1" applyFill="1" applyBorder="1" applyAlignment="1">
      <x:alignment horizontal="left" vertical="center" wrapText="1"/>
    </x:xf>
    <x:xf numFmtId="0" fontId="6" fillId="10" borderId="3" xfId="0" applyNumberFormat="1" applyFont="1" applyFill="1" applyBorder="1" applyAlignment="1">
      <x:alignment horizontal="left" vertical="center" wrapText="1"/>
    </x:xf>
    <x:xf numFmtId="0" fontId="6" fillId="10" borderId="4" xfId="0" applyNumberFormat="1" applyFont="1" applyFill="1" applyBorder="1" applyAlignment="1">
      <x:alignment horizontal="left" vertical="center" wrapText="1"/>
    </x:xf>
    <x:xf numFmtId="0" fontId="0" fillId="10" borderId="1" xfId="0" applyNumberFormat="1" applyFont="1" applyFill="1" applyBorder="1"/>
    <x:xf numFmtId="0" fontId="6" fillId="10" borderId="1" xfId="0" applyNumberFormat="1" applyFont="1" applyFill="1" applyBorder="1"/>
    <x:xf numFmtId="0" fontId="6" fillId="10" borderId="5" xfId="0" applyNumberFormat="1" applyFont="1" applyFill="1" applyBorder="1"/>
    <x:xf numFmtId="0" fontId="6" fillId="10" borderId="6" xfId="0" applyNumberFormat="1" applyFont="1" applyFill="1" applyBorder="1"/>
    <x:xf numFmtId="0" fontId="6" fillId="10" borderId="7" xfId="0" applyNumberFormat="1" applyFont="1" applyFill="1" applyBorder="1"/>
    <x:xf numFmtId="0" fontId="6" fillId="10" borderId="5" xfId="0" applyNumberFormat="1" applyFont="1" applyFill="1" applyBorder="1" applyAlignment="1">
      <x:alignment wrapText="1"/>
    </x:xf>
    <x:xf numFmtId="0" fontId="6" fillId="10" borderId="6" xfId="0" applyNumberFormat="1" applyFont="1" applyFill="1" applyBorder="1" applyAlignment="1">
      <x:alignment wrapText="1"/>
    </x:xf>
    <x:xf numFmtId="0" fontId="6" fillId="10" borderId="7" xfId="0" applyNumberFormat="1" applyFont="1" applyFill="1" applyBorder="1" applyAlignment="1">
      <x:alignment wrapText="1"/>
    </x:xf>
    <x:xf numFmtId="0" fontId="6" fillId="10" borderId="5" xfId="0" applyNumberFormat="1" applyFont="1" applyFill="1" applyBorder="1" applyAlignment="1">
      <x:alignment horizontal="left" wrapText="1"/>
    </x:xf>
    <x:xf numFmtId="0" fontId="6" fillId="10" borderId="6" xfId="0" applyNumberFormat="1" applyFont="1" applyFill="1" applyBorder="1" applyAlignment="1">
      <x:alignment horizontal="left" wrapText="1"/>
    </x:xf>
    <x:xf numFmtId="0" fontId="6" fillId="10" borderId="7" xfId="0" applyNumberFormat="1" applyFont="1" applyFill="1" applyBorder="1" applyAlignment="1">
      <x:alignment horizontal="left" wrapText="1"/>
    </x:xf>
    <x:xf numFmtId="0" fontId="6" fillId="10" borderId="5" xfId="0" applyNumberFormat="1" applyFont="1" applyFill="1" applyBorder="1" applyAlignment="1">
      <x:alignment horizontal="left" vertical="center" wrapText="1"/>
    </x:xf>
    <x:xf numFmtId="0" fontId="6" fillId="10" borderId="6" xfId="0" applyNumberFormat="1" applyFont="1" applyFill="1" applyBorder="1" applyAlignment="1">
      <x:alignment horizontal="left" vertical="center" wrapText="1"/>
    </x:xf>
    <x:xf numFmtId="0" fontId="6" fillId="10" borderId="7" xfId="0" applyNumberFormat="1" applyFont="1" applyFill="1" applyBorder="1" applyAlignment="1">
      <x:alignment horizontal="left" vertical="center" wrapText="1"/>
    </x:xf>
    <x:xf numFmtId="0" fontId="5" fillId="8" borderId="2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2" xfId="0" applyNumberFormat="1" applyFont="1" applyFill="1" applyBorder="1" applyAlignment="1">
      <x:alignment vertical="center"/>
    </x:xf>
    <x:xf numFmtId="0" fontId="5" fillId="8" borderId="3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/>
    <x:xf numFmtId="0" fontId="5" fillId="8" borderId="6" xfId="0" applyNumberFormat="1" applyFont="1" applyFill="1" applyBorder="1"/>
    <x:xf numFmtId="0" fontId="5" fillId="8" borderId="7" xfId="0" applyNumberFormat="1" applyFont="1" applyFill="1" applyBorder="1"/>
    <x:xf numFmtId="0" fontId="5" fillId="8" borderId="5" xfId="0" applyNumberFormat="1" applyFont="1" applyFill="1" applyBorder="1" applyAlignment="1">
      <x:alignment vertical="center"/>
    </x:xf>
    <x:xf numFmtId="0" fontId="5" fillId="8" borderId="6" xfId="0" applyNumberFormat="1" applyFont="1" applyFill="1" applyBorder="1" applyAlignment="1">
      <x:alignment vertical="center"/>
    </x:xf>
    <x:xf numFmtId="0" fontId="5" fillId="8" borderId="7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/>
    <x:xf numFmtId="0" fontId="5" fillId="9" borderId="8" xfId="0" applyNumberFormat="1" applyFont="1" applyFill="1" applyBorder="1"/>
    <x:xf numFmtId="0" fontId="5" fillId="9" borderId="9" xfId="0" applyNumberFormat="1" applyFont="1" applyFill="1" applyBorder="1"/>
    <x:xf numFmtId="0" fontId="5" fillId="9" borderId="10" xfId="0" applyNumberFormat="1" applyFont="1" applyFill="1" applyBorder="1"/>
    <x:xf numFmtId="0" fontId="5" fillId="9" borderId="11" xfId="0" applyNumberFormat="1" applyFont="1" applyFill="1" applyBorder="1"/>
    <x:xf numFmtId="0" fontId="5" fillId="9" borderId="12" xfId="0" applyNumberFormat="1" applyFont="1" applyFill="1" applyBorder="1"/>
    <x:xf numFmtId="0" fontId="5" fillId="9" borderId="13" xfId="0" applyNumberFormat="1" applyFont="1" applyFill="1" applyBorder="1"/>
    <x:xf numFmtId="0" fontId="5" fillId="9" borderId="14" xfId="0" applyNumberFormat="1" applyFont="1" applyFill="1" applyBorder="1"/>
    <x:xf numFmtId="0" fontId="5" fillId="9" borderId="15" xfId="0" applyNumberFormat="1" applyFont="1" applyFill="1" applyBorder="1"/>
    <x:xf numFmtId="0" fontId="5" fillId="9" borderId="8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wrapText="1"/>
    </x:xf>
    <x:xf numFmtId="0" fontId="5" fillId="9" borderId="10" xfId="0" applyNumberFormat="1" applyFont="1" applyFill="1" applyBorder="1" applyAlignment="1">
      <x:alignment wrapText="1"/>
    </x:xf>
    <x:xf numFmtId="0" fontId="5" fillId="9" borderId="11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5" fillId="9" borderId="12" xfId="0" applyNumberFormat="1" applyFont="1" applyFill="1" applyBorder="1" applyAlignment="1">
      <x:alignment wrapText="1"/>
    </x:xf>
    <x:xf numFmtId="0" fontId="5" fillId="9" borderId="13" xfId="0" applyNumberFormat="1" applyFont="1" applyFill="1" applyBorder="1" applyAlignment="1">
      <x:alignment wrapText="1"/>
    </x:xf>
    <x:xf numFmtId="0" fontId="5" fillId="9" borderId="14" xfId="0" applyNumberFormat="1" applyFont="1" applyFill="1" applyBorder="1" applyAlignment="1">
      <x:alignment wrapText="1"/>
    </x:xf>
    <x:xf numFmtId="0" fontId="5" fillId="9" borderId="15" xfId="0" applyNumberFormat="1" applyFont="1" applyFill="1" applyBorder="1" applyAlignment="1">
      <x:alignment wrapText="1"/>
    </x:xf>
    <x:xf numFmtId="0" fontId="5" fillId="9" borderId="8" xfId="0" applyNumberFormat="1" applyFont="1" applyFill="1" applyBorder="1" applyAlignment="1">
      <x:alignment vertical="center" wrapText="1"/>
    </x:xf>
    <x:xf numFmtId="0" fontId="5" fillId="9" borderId="9" xfId="0" applyNumberFormat="1" applyFont="1" applyFill="1" applyBorder="1" applyAlignment="1">
      <x:alignment vertical="center" wrapText="1"/>
    </x:xf>
    <x:xf numFmtId="0" fontId="5" fillId="9" borderId="10" xfId="0" applyNumberFormat="1" applyFont="1" applyFill="1" applyBorder="1" applyAlignment="1">
      <x:alignment vertical="center" wrapText="1"/>
    </x:xf>
    <x:xf numFmtId="0" fontId="5" fillId="9" borderId="11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vertical="center" wrapText="1"/>
    </x:xf>
    <x:xf numFmtId="0" fontId="5" fillId="9" borderId="12" xfId="0" applyNumberFormat="1" applyFont="1" applyFill="1" applyBorder="1" applyAlignment="1">
      <x:alignment vertical="center" wrapText="1"/>
    </x:xf>
    <x:xf numFmtId="0" fontId="5" fillId="9" borderId="13" xfId="0" applyNumberFormat="1" applyFont="1" applyFill="1" applyBorder="1" applyAlignment="1">
      <x:alignment vertical="center" wrapText="1"/>
    </x:xf>
    <x:xf numFmtId="0" fontId="5" fillId="9" borderId="14" xfId="0" applyNumberFormat="1" applyFont="1" applyFill="1" applyBorder="1" applyAlignment="1">
      <x:alignment vertical="center" wrapText="1"/>
    </x:xf>
    <x:xf numFmtId="0" fontId="5" fillId="9" borderId="15" xfId="0" applyNumberFormat="1" applyFont="1" applyFill="1" applyBorder="1" applyAlignment="1">
      <x:alignment vertical="center" wrapText="1"/>
    </x:xf>
    <x:xf numFmtId="0" fontId="5" fillId="9" borderId="1" xfId="0" applyNumberFormat="1" applyFont="1" applyFill="1" applyBorder="1"/>
    <x:xf numFmtId="0" fontId="5" fillId="9" borderId="16" xfId="0" applyNumberFormat="1" applyFont="1" applyFill="1" applyBorder="1"/>
    <x:xf numFmtId="0" fontId="5" fillId="9" borderId="17" xfId="0" applyNumberFormat="1" applyFont="1" applyFill="1" applyBorder="1"/>
    <x:xf numFmtId="0" fontId="5" fillId="9" borderId="18" xfId="0" applyNumberFormat="1" applyFont="1" applyFill="1" applyBorder="1"/>
    <x:xf numFmtId="0" fontId="5" fillId="9" borderId="19" xfId="0" applyNumberFormat="1" applyFont="1" applyFill="1" applyBorder="1"/>
    <x:xf numFmtId="0" fontId="5" fillId="9" borderId="20" xfId="0" applyNumberFormat="1" applyFont="1" applyFill="1" applyBorder="1"/>
    <x:xf numFmtId="0" fontId="5" fillId="9" borderId="21" xfId="0" applyNumberFormat="1" applyFont="1" applyFill="1" applyBorder="1"/>
    <x:xf numFmtId="0" fontId="5" fillId="9" borderId="22" xfId="0" applyNumberFormat="1" applyFont="1" applyFill="1" applyBorder="1"/>
    <x:xf numFmtId="0" fontId="5" fillId="9" borderId="23" xfId="0" applyNumberFormat="1" applyFont="1" applyFill="1" applyBorder="1"/>
    <x:xf numFmtId="0" fontId="5" fillId="9" borderId="16" xfId="0" applyNumberFormat="1" applyFont="1" applyFill="1" applyBorder="1" applyAlignment="1">
      <x:alignment wrapText="1"/>
    </x:xf>
    <x:xf numFmtId="0" fontId="5" fillId="9" borderId="17" xfId="0" applyNumberFormat="1" applyFont="1" applyFill="1" applyBorder="1" applyAlignment="1">
      <x:alignment wrapText="1"/>
    </x:xf>
    <x:xf numFmtId="0" fontId="5" fillId="9" borderId="18" xfId="0" applyNumberFormat="1" applyFont="1" applyFill="1" applyBorder="1" applyAlignment="1">
      <x:alignment wrapText="1"/>
    </x:xf>
    <x:xf numFmtId="0" fontId="5" fillId="9" borderId="19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wrapText="1"/>
    </x:xf>
    <x:xf numFmtId="0" fontId="5" fillId="9" borderId="20" xfId="0" applyNumberFormat="1" applyFont="1" applyFill="1" applyBorder="1" applyAlignment="1">
      <x:alignment wrapText="1"/>
    </x:xf>
    <x:xf numFmtId="0" fontId="5" fillId="9" borderId="21" xfId="0" applyNumberFormat="1" applyFont="1" applyFill="1" applyBorder="1" applyAlignment="1">
      <x:alignment wrapText="1"/>
    </x:xf>
    <x:xf numFmtId="0" fontId="5" fillId="9" borderId="22" xfId="0" applyNumberFormat="1" applyFont="1" applyFill="1" applyBorder="1" applyAlignment="1">
      <x:alignment wrapText="1"/>
    </x:xf>
    <x:xf numFmtId="0" fontId="5" fillId="9" borderId="23" xfId="0" applyNumberFormat="1" applyFont="1" applyFill="1" applyBorder="1" applyAlignment="1">
      <x:alignment wrapText="1"/>
    </x:xf>
    <x:xf numFmtId="0" fontId="5" fillId="9" borderId="16" xfId="0" applyNumberFormat="1" applyFont="1" applyFill="1" applyBorder="1" applyAlignment="1">
      <x:alignment vertical="center" wrapText="1"/>
    </x:xf>
    <x:xf numFmtId="0" fontId="5" fillId="9" borderId="17" xfId="0" applyNumberFormat="1" applyFont="1" applyFill="1" applyBorder="1" applyAlignment="1">
      <x:alignment vertical="center" wrapText="1"/>
    </x:xf>
    <x:xf numFmtId="0" fontId="5" fillId="9" borderId="18" xfId="0" applyNumberFormat="1" applyFont="1" applyFill="1" applyBorder="1" applyAlignment="1">
      <x:alignment vertical="center" wrapText="1"/>
    </x:xf>
    <x:xf numFmtId="0" fontId="5" fillId="9" borderId="19" xfId="0" applyNumberFormat="1" applyFont="1" applyFill="1" applyBorder="1" applyAlignment="1">
      <x:alignment vertical="center" wrapText="1"/>
    </x:xf>
    <x:xf numFmtId="0" fontId="5" fillId="9" borderId="1" xfId="0" applyNumberFormat="1" applyFont="1" applyFill="1" applyBorder="1" applyAlignment="1">
      <x:alignment vertical="center" wrapText="1"/>
    </x:xf>
    <x:xf numFmtId="0" fontId="5" fillId="9" borderId="20" xfId="0" applyNumberFormat="1" applyFont="1" applyFill="1" applyBorder="1" applyAlignment="1">
      <x:alignment vertical="center" wrapText="1"/>
    </x:xf>
    <x:xf numFmtId="0" fontId="5" fillId="9" borderId="21" xfId="0" applyNumberFormat="1" applyFont="1" applyFill="1" applyBorder="1" applyAlignment="1">
      <x:alignment vertical="center" wrapText="1"/>
    </x:xf>
    <x:xf numFmtId="0" fontId="5" fillId="9" borderId="22" xfId="0" applyNumberFormat="1" applyFont="1" applyFill="1" applyBorder="1" applyAlignment="1">
      <x:alignment vertical="center" wrapText="1"/>
    </x:xf>
    <x:xf numFmtId="0" fontId="5" fillId="9" borderId="23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5" fillId="8" borderId="30" xfId="0" applyNumberFormat="1" applyFont="1" applyFill="1" applyBorder="1" applyAlignment="1">
      <x:alignment vertical="center"/>
    </x:xf>
    <x:xf numFmtId="0" fontId="5" fillId="8" borderId="31" xfId="0" applyNumberFormat="1" applyFont="1" applyFill="1" applyBorder="1" applyAlignment="1">
      <x:alignment vertical="center"/>
    </x:xf>
    <x:xf numFmtId="0" fontId="5" fillId="4" borderId="8" xfId="0" applyNumberFormat="1" applyFont="1" applyFill="1" applyBorder="1" applyAlignment="1">
      <x:alignment vertical="center" wrapText="1"/>
    </x:xf>
    <x:xf numFmtId="0" fontId="5" fillId="8" borderId="30" xfId="0" applyNumberFormat="1" applyFont="1" applyFill="1" applyBorder="1" applyAlignment="1">
      <x:alignment vertical="center" wrapText="1"/>
    </x:xf>
    <x:xf numFmtId="0" fontId="5" fillId="4" borderId="30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16" xfId="0" applyNumberFormat="1" applyFont="1" applyFill="1" applyBorder="1" applyAlignment="1">
      <x:alignment vertical="center" wrapText="1"/>
    </x:xf>
    <x:xf numFmtId="0" fontId="5" fillId="8" borderId="31" xfId="0" applyNumberFormat="1" applyFont="1" applyFill="1" applyBorder="1" applyAlignment="1">
      <x:alignment vertical="center" wrapText="1"/>
    </x:xf>
    <x:xf numFmtId="0" fontId="5" fillId="4" borderId="31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4" borderId="7" xfId="0" applyNumberFormat="1" applyFont="1" applyFill="1" applyBorder="1" applyAlignment="1">
      <x:alignment vertical="center"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9" xfId="0" applyNumberFormat="1" applyFont="1" applyFill="1" applyBorder="1" applyAlignment="1">
      <x:alignment vertical="center" wrapText="1"/>
    </x:xf>
    <x:xf numFmtId="0" fontId="5" fillId="4" borderId="13" xfId="0" applyNumberFormat="1" applyFont="1" applyFill="1" applyBorder="1" applyAlignment="1">
      <x:alignment vertical="center" wrapText="1"/>
    </x:xf>
    <x:xf numFmtId="0" fontId="5" fillId="4" borderId="21" xfId="0" applyNumberFormat="1" applyFont="1" applyFill="1" applyBorder="1" applyAlignment="1">
      <x:alignment vertical="center" wrapText="1"/>
    </x:xf>
    <x:xf numFmtId="0" fontId="5" fillId="8" borderId="30" xfId="0" applyNumberFormat="1" applyFont="1" applyFill="1" applyBorder="1"/>
    <x:xf numFmtId="0" fontId="5" fillId="8" borderId="31" xfId="0" applyNumberFormat="1" applyFont="1" applyFill="1" applyBorder="1"/>
    <x:xf numFmtId="0" fontId="5" fillId="4" borderId="3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0" fontId="5" fillId="8" borderId="3" xfId="0" applyNumberFormat="1" applyFont="1" applyFill="1" applyBorder="1" applyAlignment="1">
      <x:alignment vertical="center" wrapText="1"/>
    </x:xf>
    <x:xf numFmtId="0" fontId="5" fillId="8" borderId="6" xfId="0" applyNumberFormat="1" applyFont="1" applyFill="1" applyBorder="1" applyAlignment="1">
      <x:alignment vertical="center" wrapText="1"/>
    </x:xf>
    <x:xf numFmtId="0" fontId="5" fillId="9" borderId="24" xfId="0" applyNumberFormat="1" applyFont="1" applyFill="1" applyBorder="1"/>
    <x:xf numFmtId="0" fontId="5" fillId="9" borderId="25" xfId="0" applyNumberFormat="1" applyFont="1" applyFill="1" applyBorder="1"/>
    <x:xf numFmtId="0" fontId="5" fillId="9" borderId="26" xfId="0" applyNumberFormat="1" applyFont="1" applyFill="1" applyBorder="1"/>
    <x:xf numFmtId="0" fontId="5" fillId="9" borderId="24" xfId="0" applyNumberFormat="1" applyFont="1" applyFill="1" applyBorder="1" applyAlignment="1">
      <x:alignment wrapText="1"/>
    </x:xf>
    <x:xf numFmtId="0" fontId="5" fillId="9" borderId="25" xfId="0" applyNumberFormat="1" applyFont="1" applyFill="1" applyBorder="1" applyAlignment="1">
      <x:alignment wrapText="1"/>
    </x:xf>
    <x:xf numFmtId="0" fontId="5" fillId="9" borderId="26" xfId="0" applyNumberFormat="1" applyFont="1" applyFill="1" applyBorder="1" applyAlignment="1">
      <x:alignment wrapText="1"/>
    </x:xf>
    <x:xf numFmtId="0" fontId="5" fillId="9" borderId="24" xfId="0" applyNumberFormat="1" applyFont="1" applyFill="1" applyBorder="1" applyAlignment="1">
      <x:alignment vertical="center" wrapText="1"/>
    </x:xf>
    <x:xf numFmtId="0" fontId="5" fillId="9" borderId="25" xfId="0" applyNumberFormat="1" applyFont="1" applyFill="1" applyBorder="1" applyAlignment="1">
      <x:alignment vertical="center" wrapText="1"/>
    </x:xf>
    <x:xf numFmtId="0" fontId="5" fillId="9" borderId="26" xfId="0" applyNumberFormat="1" applyFont="1" applyFill="1" applyBorder="1" applyAlignment="1">
      <x:alignment vertical="center" wrapText="1"/>
    </x:xf>
    <x:xf numFmtId="0" fontId="5" fillId="9" borderId="27" xfId="0" applyNumberFormat="1" applyFont="1" applyFill="1" applyBorder="1"/>
    <x:xf numFmtId="0" fontId="5" fillId="9" borderId="28" xfId="0" applyNumberFormat="1" applyFont="1" applyFill="1" applyBorder="1"/>
    <x:xf numFmtId="0" fontId="5" fillId="9" borderId="29" xfId="0" applyNumberFormat="1" applyFont="1" applyFill="1" applyBorder="1"/>
    <x:xf numFmtId="0" fontId="5" fillId="9" borderId="27" xfId="0" applyNumberFormat="1" applyFont="1" applyFill="1" applyBorder="1" applyAlignment="1">
      <x:alignment wrapText="1"/>
    </x:xf>
    <x:xf numFmtId="0" fontId="5" fillId="9" borderId="28" xfId="0" applyNumberFormat="1" applyFont="1" applyFill="1" applyBorder="1" applyAlignment="1">
      <x:alignment wrapText="1"/>
    </x:xf>
    <x:xf numFmtId="0" fontId="5" fillId="9" borderId="29" xfId="0" applyNumberFormat="1" applyFont="1" applyFill="1" applyBorder="1" applyAlignment="1">
      <x:alignment wrapText="1"/>
    </x:xf>
    <x:xf numFmtId="0" fontId="5" fillId="9" borderId="27" xfId="0" applyNumberFormat="1" applyFont="1" applyFill="1" applyBorder="1" applyAlignment="1">
      <x:alignment vertical="center" wrapText="1"/>
    </x:xf>
    <x:xf numFmtId="0" fontId="5" fillId="9" borderId="28" xfId="0" applyNumberFormat="1" applyFont="1" applyFill="1" applyBorder="1" applyAlignment="1">
      <x:alignment vertical="center" wrapText="1"/>
    </x:xf>
    <x:xf numFmtId="0" fontId="5" fillId="9" borderId="29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horizontal="center" vertical="center"/>
    </x:xf>
    <x:xf numFmtId="0" fontId="5" fillId="9" borderId="2" xfId="0" applyNumberFormat="1" applyFont="1" applyFill="1" applyBorder="1"/>
    <x:xf numFmtId="0" fontId="5" fillId="9" borderId="3" xfId="0" applyNumberFormat="1" applyFont="1" applyFill="1" applyBorder="1"/>
    <x:xf numFmtId="0" fontId="5" fillId="9" borderId="4" xfId="0" applyNumberFormat="1" applyFont="1" applyFill="1" applyBorder="1"/>
    <x:xf numFmtId="0" fontId="5" fillId="9" borderId="2" xfId="0" applyNumberFormat="1" applyFont="1" applyFill="1" applyBorder="1" applyAlignment="1">
      <x:alignment wrapText="1"/>
    </x:xf>
    <x:xf numFmtId="0" fontId="5" fillId="9" borderId="3" xfId="0" applyNumberFormat="1" applyFont="1" applyFill="1" applyBorder="1" applyAlignment="1">
      <x:alignment wrapText="1"/>
    </x:xf>
    <x:xf numFmtId="0" fontId="5" fillId="9" borderId="4" xfId="0" applyNumberFormat="1" applyFont="1" applyFill="1" applyBorder="1" applyAlignment="1">
      <x:alignment wrapText="1"/>
    </x:xf>
    <x:xf numFmtId="0" fontId="5" fillId="9" borderId="2" xfId="0" applyNumberFormat="1" applyFont="1" applyFill="1" applyBorder="1" applyAlignment="1">
      <x:alignment vertical="center" wrapText="1"/>
    </x:xf>
    <x:xf numFmtId="0" fontId="5" fillId="9" borderId="3" xfId="0" applyNumberFormat="1" applyFont="1" applyFill="1" applyBorder="1" applyAlignment="1">
      <x:alignment vertical="center" wrapText="1"/>
    </x:xf>
    <x:xf numFmtId="0" fontId="5" fillId="9" borderId="4" xfId="0" applyNumberFormat="1" applyFont="1" applyFill="1" applyBorder="1" applyAlignment="1">
      <x:alignment vertical="center" wrapText="1"/>
    </x:xf>
    <x:xf numFmtId="0" fontId="5" fillId="9" borderId="5" xfId="0" applyNumberFormat="1" applyFont="1" applyFill="1" applyBorder="1"/>
    <x:xf numFmtId="0" fontId="5" fillId="9" borderId="6" xfId="0" applyNumberFormat="1" applyFont="1" applyFill="1" applyBorder="1"/>
    <x:xf numFmtId="0" fontId="5" fillId="9" borderId="7" xfId="0" applyNumberFormat="1" applyFont="1" applyFill="1" applyBorder="1"/>
    <x:xf numFmtId="0" fontId="5" fillId="9" borderId="5" xfId="0" applyNumberFormat="1" applyFont="1" applyFill="1" applyBorder="1" applyAlignment="1">
      <x:alignment wrapText="1"/>
    </x:xf>
    <x:xf numFmtId="0" fontId="5" fillId="9" borderId="6" xfId="0" applyNumberFormat="1" applyFont="1" applyFill="1" applyBorder="1" applyAlignment="1">
      <x:alignment wrapText="1"/>
    </x:xf>
    <x:xf numFmtId="0" fontId="5" fillId="9" borderId="7" xfId="0" applyNumberFormat="1" applyFont="1" applyFill="1" applyBorder="1" applyAlignment="1">
      <x:alignment wrapText="1"/>
    </x:xf>
    <x:xf numFmtId="0" fontId="5" fillId="9" borderId="5" xfId="0" applyNumberFormat="1" applyFont="1" applyFill="1" applyBorder="1" applyAlignment="1">
      <x:alignment vertical="center" wrapText="1"/>
    </x:xf>
    <x:xf numFmtId="0" fontId="5" fillId="9" borderId="6" xfId="0" applyNumberFormat="1" applyFont="1" applyFill="1" applyBorder="1" applyAlignment="1">
      <x:alignment vertical="center" wrapText="1"/>
    </x:xf>
    <x:xf numFmtId="0" fontId="5" fillId="9" borderId="7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/>
    <x:xf numFmtId="0" fontId="2" fillId="4" borderId="30" xfId="0" applyNumberFormat="1" applyFont="1" applyFill="1" applyBorder="1"/>
    <x:xf numFmtId="0" fontId="2" fillId="4" borderId="3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/>
    <x:xf numFmtId="0" fontId="2" fillId="4" borderId="31" xfId="0" applyNumberFormat="1" applyFont="1" applyFill="1" applyBorder="1"/>
    <x:xf numFmtId="0" fontId="2" fillId="4" borderId="31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4" fillId="5" borderId="16" xfId="0" applyNumberFormat="1" applyFont="1" applyFill="1" applyBorder="1"/>
    <x:xf numFmtId="0" fontId="4" fillId="5" borderId="17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20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3" xfId="0" applyNumberFormat="1" applyFont="1" applyFill="1" applyBorder="1"/>
    <x:xf numFmtId="0" fontId="4" fillId="5" borderId="16" xfId="0" applyNumberFormat="1" applyFont="1" applyFill="1" applyBorder="1" applyAlignment="1">
      <x:alignment wrapText="1"/>
    </x:xf>
    <x:xf numFmtId="0" fontId="4" fillId="5" borderId="17" xfId="0" applyNumberFormat="1" applyFont="1" applyFill="1" applyBorder="1" applyAlignment="1">
      <x:alignment wrapText="1"/>
    </x:xf>
    <x:xf numFmtId="0" fontId="4" fillId="5" borderId="18" xfId="0" applyNumberFormat="1" applyFont="1" applyFill="1" applyBorder="1" applyAlignment="1">
      <x:alignment wrapText="1"/>
    </x:xf>
    <x:xf numFmtId="0" fontId="4" fillId="5" borderId="19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20" xfId="0" applyNumberFormat="1" applyFont="1" applyFill="1" applyBorder="1" applyAlignment="1">
      <x:alignment wrapText="1"/>
    </x:xf>
    <x:xf numFmtId="0" fontId="4" fillId="5" borderId="21" xfId="0" applyNumberFormat="1" applyFont="1" applyFill="1" applyBorder="1" applyAlignment="1">
      <x:alignment wrapText="1"/>
    </x:xf>
    <x:xf numFmtId="0" fontId="4" fillId="5" borderId="22" xfId="0" applyNumberFormat="1" applyFont="1" applyFill="1" applyBorder="1" applyAlignment="1">
      <x:alignment wrapText="1"/>
    </x:xf>
    <x:xf numFmtId="0" fontId="4" fillId="5" borderId="23" xfId="0" applyNumberFormat="1" applyFont="1" applyFill="1" applyBorder="1" applyAlignment="1">
      <x:alignment wrapText="1"/>
    </x:xf>
    <x:xf numFmtId="0" fontId="4" fillId="5" borderId="16" xfId="0" applyNumberFormat="1" applyFont="1" applyFill="1" applyBorder="1" applyAlignment="1">
      <x:alignment vertical="center" wrapText="1"/>
    </x:xf>
    <x:xf numFmtId="0" fontId="4" fillId="5" borderId="17" xfId="0" applyNumberFormat="1" applyFont="1" applyFill="1" applyBorder="1" applyAlignment="1">
      <x:alignment vertical="center" wrapText="1"/>
    </x:xf>
    <x:xf numFmtId="0" fontId="4" fillId="5" borderId="18" xfId="0" applyNumberFormat="1" applyFont="1" applyFill="1" applyBorder="1" applyAlignment="1">
      <x:alignment vertical="center" wrapText="1"/>
    </x:xf>
    <x:xf numFmtId="0" fontId="4" fillId="5" borderId="19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0" xfId="0" applyNumberFormat="1" applyFont="1" applyFill="1" applyBorder="1" applyAlignment="1">
      <x:alignment vertical="center" wrapText="1"/>
    </x:xf>
    <x:xf numFmtId="0" fontId="4" fillId="5" borderId="21" xfId="0" applyNumberFormat="1" applyFont="1" applyFill="1" applyBorder="1" applyAlignment="1">
      <x:alignment vertical="center" wrapText="1"/>
    </x:xf>
    <x:xf numFmtId="0" fontId="4" fillId="5" borderId="22" xfId="0" applyNumberFormat="1" applyFont="1" applyFill="1" applyBorder="1" applyAlignment="1">
      <x:alignment vertical="center" wrapText="1"/>
    </x:xf>
    <x:xf numFmtId="0" fontId="4" fillId="5" borderId="2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left"/>
    </x:xf>
    <x:xf numFmtId="0" fontId="1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2" xfId="0" applyNumberFormat="1" applyFont="1" applyFill="1" applyBorder="1"/>
    <x:xf numFmtId="0" fontId="2" fillId="12" borderId="4" xfId="0" applyNumberFormat="1" applyFont="1" applyFill="1" applyBorder="1"/>
    <x:xf numFmtId="0" fontId="2" fillId="12" borderId="2" xfId="0" applyNumberFormat="1" applyFont="1" applyFill="1" applyBorder="1" applyAlignment="1">
      <x:alignment vertical="center"/>
    </x:xf>
    <x:xf numFmtId="0" fontId="2" fillId="12" borderId="4" xfId="0" applyNumberFormat="1" applyFont="1" applyFill="1" applyBorder="1" applyAlignment="1">
      <x:alignment vertical="center"/>
    </x:xf>
    <x:xf numFmtId="0" fontId="5" fillId="12" borderId="0" xfId="0" applyNumberFormat="1" applyFont="1" applyFill="1" applyBorder="1"/>
    <x:xf numFmtId="0" fontId="5" fillId="12" borderId="2" xfId="0" applyNumberFormat="1" applyFont="1" applyFill="1" applyBorder="1"/>
    <x:xf numFmtId="0" fontId="5" fillId="12" borderId="3" xfId="0" applyNumberFormat="1" applyFont="1" applyFill="1" applyBorder="1"/>
    <x:xf numFmtId="0" fontId="5" fillId="12" borderId="4" xfId="0" applyNumberFormat="1" applyFont="1" applyFill="1" applyBorder="1"/>
    <x:xf numFmtId="0" fontId="5" fillId="12" borderId="2" xfId="0" applyNumberFormat="1" applyFont="1" applyFill="1" applyBorder="1" applyAlignment="1">
      <x:alignment wrapText="1"/>
    </x:xf>
    <x:xf numFmtId="0" fontId="5" fillId="12" borderId="3" xfId="0" applyNumberFormat="1" applyFont="1" applyFill="1" applyBorder="1" applyAlignment="1">
      <x:alignment wrapText="1"/>
    </x:xf>
    <x:xf numFmtId="0" fontId="5" fillId="12" borderId="4" xfId="0" applyNumberFormat="1" applyFont="1" applyFill="1" applyBorder="1" applyAlignment="1">
      <x:alignment wrapText="1"/>
    </x:xf>
    <x:xf numFmtId="0" fontId="5" fillId="12" borderId="2" xfId="0" applyNumberFormat="1" applyFont="1" applyFill="1" applyBorder="1" applyAlignment="1">
      <x:alignment vertical="center" wrapText="1"/>
    </x:xf>
    <x:xf numFmtId="0" fontId="5" fillId="12" borderId="3" xfId="0" applyNumberFormat="1" applyFont="1" applyFill="1" applyBorder="1" applyAlignment="1">
      <x:alignment vertical="center" wrapText="1"/>
    </x:xf>
    <x:xf numFmtId="0" fontId="5" fillId="12" borderId="4" xfId="0" applyNumberFormat="1" applyFont="1" applyFill="1" applyBorder="1" applyAlignment="1">
      <x:alignment vertical="center" wrapText="1"/>
    </x:xf>
    <x:xf numFmtId="0" fontId="7" fillId="12" borderId="0" xfId="0" applyNumberFormat="1" applyFont="1" applyFill="1" applyBorder="1"/>
    <x:xf numFmtId="0" fontId="7" fillId="12" borderId="2" xfId="0" applyNumberFormat="1" applyFont="1" applyFill="1" applyBorder="1"/>
    <x:xf numFmtId="0" fontId="7" fillId="12" borderId="3" xfId="0" applyNumberFormat="1" applyFont="1" applyFill="1" applyBorder="1"/>
    <x:xf numFmtId="0" fontId="7" fillId="12" borderId="4" xfId="0" applyNumberFormat="1" applyFont="1" applyFill="1" applyBorder="1"/>
    <x:xf numFmtId="0" fontId="7" fillId="12" borderId="2" xfId="0" applyNumberFormat="1" applyFont="1" applyFill="1" applyBorder="1" applyAlignment="1">
      <x:alignment wrapText="1"/>
    </x:xf>
    <x:xf numFmtId="0" fontId="7" fillId="12" borderId="3" xfId="0" applyNumberFormat="1" applyFont="1" applyFill="1" applyBorder="1" applyAlignment="1">
      <x:alignment wrapText="1"/>
    </x:xf>
    <x:xf numFmtId="0" fontId="7" fillId="12" borderId="4" xfId="0" applyNumberFormat="1" applyFont="1" applyFill="1" applyBorder="1" applyAlignment="1">
      <x:alignment wrapText="1"/>
    </x:xf>
    <x:xf numFmtId="0" fontId="7" fillId="12" borderId="2" xfId="0" applyNumberFormat="1" applyFont="1" applyFill="1" applyBorder="1" applyAlignment="1">
      <x:alignment vertical="center" wrapText="1"/>
    </x:xf>
    <x:xf numFmtId="0" fontId="7" fillId="12" borderId="3" xfId="0" applyNumberFormat="1" applyFont="1" applyFill="1" applyBorder="1" applyAlignment="1">
      <x:alignment vertical="center" wrapText="1"/>
    </x:xf>
    <x:xf numFmtId="0" fontId="7" fillId="12" borderId="4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2" xfId="0" applyNumberFormat="1" applyFont="1" applyFill="1" applyBorder="1"/>
    <x:xf numFmtId="0" fontId="5" fillId="13" borderId="3" xfId="0" applyNumberFormat="1" applyFont="1" applyFill="1" applyBorder="1"/>
    <x:xf numFmtId="0" fontId="5" fillId="13" borderId="4" xfId="0" applyNumberFormat="1" applyFont="1" applyFill="1" applyBorder="1"/>
    <x:xf numFmtId="0" fontId="5" fillId="13" borderId="2" xfId="0" applyNumberFormat="1" applyFont="1" applyFill="1" applyBorder="1" applyAlignment="1">
      <x:alignment wrapText="1"/>
    </x:xf>
    <x:xf numFmtId="0" fontId="5" fillId="13" borderId="3" xfId="0" applyNumberFormat="1" applyFont="1" applyFill="1" applyBorder="1" applyAlignment="1">
      <x:alignment wrapText="1"/>
    </x:xf>
    <x:xf numFmtId="0" fontId="5" fillId="13" borderId="4" xfId="0" applyNumberFormat="1" applyFont="1" applyFill="1" applyBorder="1" applyAlignment="1">
      <x:alignment wrapText="1"/>
    </x:xf>
    <x:xf numFmtId="0" fontId="5" fillId="13" borderId="2" xfId="0" applyNumberFormat="1" applyFont="1" applyFill="1" applyBorder="1" applyAlignment="1">
      <x:alignment vertical="center" wrapText="1"/>
    </x:xf>
    <x:xf numFmtId="0" fontId="5" fillId="13" borderId="3" xfId="0" applyNumberFormat="1" applyFont="1" applyFill="1" applyBorder="1" applyAlignment="1">
      <x:alignment vertical="center" wrapText="1"/>
    </x:xf>
    <x:xf numFmtId="0" fontId="5" fillId="13" borderId="4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/>
    <x:xf numFmtId="0" fontId="2" fillId="4" borderId="4" xfId="0" applyNumberFormat="1" applyFont="1" applyFill="1" applyBorder="1"/>
    <x:xf numFmtId="0" fontId="2" fillId="4" borderId="2" xfId="0" applyNumberFormat="1" applyFont="1" applyFill="1" applyBorder="1" applyAlignment="1">
      <x:alignment vertical="center"/>
    </x:xf>
    <x:xf numFmtId="0" fontId="2" fillId="4" borderId="4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7" fillId="4" borderId="2" xfId="0" applyNumberFormat="1" applyFont="1" applyFill="1" applyBorder="1"/>
    <x:xf numFmtId="0" fontId="7" fillId="4" borderId="3" xfId="0" applyNumberFormat="1" applyFont="1" applyFill="1" applyBorder="1"/>
    <x:xf numFmtId="0" fontId="7" fillId="4" borderId="4" xfId="0" applyNumberFormat="1" applyFont="1" applyFill="1" applyBorder="1"/>
    <x:xf numFmtId="0" fontId="7" fillId="4" borderId="2" xfId="0" applyNumberFormat="1" applyFont="1" applyFill="1" applyBorder="1" applyAlignment="1">
      <x:alignment wrapText="1"/>
    </x:xf>
    <x:xf numFmtId="0" fontId="7" fillId="4" borderId="3" xfId="0" applyNumberFormat="1" applyFont="1" applyFill="1" applyBorder="1" applyAlignment="1">
      <x:alignment wrapText="1"/>
    </x:xf>
    <x:xf numFmtId="0" fontId="7" fillId="4" borderId="4" xfId="0" applyNumberFormat="1" applyFont="1" applyFill="1" applyBorder="1" applyAlignment="1">
      <x:alignment wrapText="1"/>
    </x:xf>
    <x:xf numFmtId="0" fontId="7" fillId="4" borderId="2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0" fillId="15" borderId="0" xfId="0" applyNumberFormat="1" applyFont="1" applyFill="1" applyBorder="1"/>
    <x:xf numFmtId="0" fontId="10" fillId="15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b/>
      </x:font>
      <x:fill>
        <x:patternFill>
          <x:bgColor rgb="FFECFEFF"/>
        </x:patternFill>
      </x:fill>
    </x:dxf>
    <x:dxf>
      <x:fill>
        <x:patternFill>
          <x:bgColor rgb="FFF3E8FF"/>
        </x:patternFill>
      </x:fill>
    </x:dxf>
    <x:dxf>
      <x:font>
        <x:color rgb="FF475569"/>
      </x:font>
      <x:fill>
        <x:patternFill>
          <x:bgColor rgb="FFF1F5F9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9b4f66da944222" /><Relationship Type="http://schemas.openxmlformats.org/officeDocument/2006/relationships/theme" Target="/xl/theme/theme1.xml" Id="Ra21559f512b44451" /><Relationship Type="http://schemas.openxmlformats.org/officeDocument/2006/relationships/sharedStrings" Target="/xl/sharedStrings.xml" Id="R23a852d06ef64eff" /><Relationship Type="http://schemas.openxmlformats.org/officeDocument/2006/relationships/worksheet" Target="/xl/worksheets/sheet1.xml" Id="Rd9f277c755d7415b" /><Relationship Type="http://schemas.openxmlformats.org/officeDocument/2006/relationships/worksheet" Target="/xl/worksheets/sheet2.xml" Id="Rd221ea7251074522" /><Relationship Type="http://schemas.openxmlformats.org/officeDocument/2006/relationships/worksheet" Target="/xl/worksheets/sheet3.xml" Id="R7942ff54b96c4471" /><Relationship Type="http://schemas.openxmlformats.org/officeDocument/2006/relationships/worksheet" Target="/xl/worksheets/sheet4.xml" Id="Rad4d7f8a5695412e" /><Relationship Type="http://schemas.openxmlformats.org/officeDocument/2006/relationships/worksheet" Target="/xl/worksheets/sheet5.xml" Id="Rc7ee5c5ddffe4084" /><Relationship Type="http://schemas.openxmlformats.org/officeDocument/2006/relationships/worksheet" Target="/xl/worksheets/sheet6.xml" Id="R458317b4495946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e50d4adbaf147f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1bc534ace994c30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54</xdr:row>
      <xdr:rowOff>0</xdr:rowOff>
    </xdr:from>
    <xdr:to>
      <xdr:col>14</xdr:col>
      <xdr:colOff>0</xdr:colOff>
      <xdr:row>70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50d4adbaf147f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14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bc534ace994c3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cisionCostTable" displayName="DecisionCostTable" ref="A7:G11" headerRowCount="1">
  <x:tableColumns count="7">
    <x:tableColumn id="1" name="Number"/>
    <x:tableColumn id="2" name="Requirement"/>
    <x:tableColumn id="3" name="Description"/>
    <x:tableColumn id="4" name="Answer"/>
    <x:tableColumn id="5" name="Estimating weight"/>
    <x:tableColumn id="6" name="Configuration weight"/>
    <x:tableColumn id="7" name="Quoting weight"/>
  </x:tableColumns>
  <x:tableStyleInfo name="TableStyleMedium2" showRowStripes="1"/>
</x:table>
</file>

<file path=xl/tables/table2.xml><?xml version="1.0" encoding="utf-8"?>
<x:table xmlns:x="http://schemas.openxmlformats.org/spreadsheetml/2006/main" id="2" name="DecisionConfigurationTable" displayName="DecisionConfigurationTable" ref="A14:G18" headerRowCount="1">
  <x:tableColumns count="7">
    <x:tableColumn id="1" name="Number"/>
    <x:tableColumn id="2" name="Requirement"/>
    <x:tableColumn id="3" name="Description"/>
    <x:tableColumn id="4" name="Answer"/>
    <x:tableColumn id="5" name="Estimating weight"/>
    <x:tableColumn id="6" name="Configuration weight"/>
    <x:tableColumn id="7" name="Quoting weight"/>
  </x:tableColumns>
  <x:tableStyleInfo name="TableStyleMedium2" showRowStripes="1"/>
</x:table>
</file>

<file path=xl/tables/table3.xml><?xml version="1.0" encoding="utf-8"?>
<x:table xmlns:x="http://schemas.openxmlformats.org/spreadsheetml/2006/main" id="3" name="DecisionQuotingTable" displayName="DecisionQuotingTable" ref="A21:G25" headerRowCount="1">
  <x:tableColumns count="7">
    <x:tableColumn id="1" name="Number"/>
    <x:tableColumn id="2" name="Requirement"/>
    <x:tableColumn id="3" name="Description"/>
    <x:tableColumn id="4" name="Answer"/>
    <x:tableColumn id="5" name="Estimating weight"/>
    <x:tableColumn id="6" name="Configuration weight"/>
    <x:tableColumn id="7" name="Quoting weight"/>
  </x:tableColumns>
  <x:tableStyleInfo name="TableStyleMedium2" showRowStripes="1"/>
</x:table>
</file>

<file path=xl/tables/table4.xml><?xml version="1.0" encoding="utf-8"?>
<x:table xmlns:x="http://schemas.openxmlformats.org/spreadsheetml/2006/main" id="4" name="ManufacturingRequirementsMatrixTable" displayName="ManufacturingRequirementsMatrixTable" ref="A5:O48" headerRowCount="1">
  <x:tableColumns count="15">
    <x:tableColumn id="1" name="Requirement ID"/>
    <x:tableColumn id="2" name="Requirement group"/>
    <x:tableColumn id="3" name="Capability"/>
    <x:tableColumn id="4" name="Description"/>
    <x:tableColumn id="5" name="Need level"/>
    <x:tableColumn id="6" name="Current coverage"/>
    <x:tableColumn id="7" name="Current system"/>
    <x:tableColumn id="8" name="Gap"/>
    <x:tableColumn id="9" name="Primary software category"/>
    <x:tableColumn id="10" name="Adjacent system"/>
    <x:tableColumn id="11" name="Business owner"/>
    <x:tableColumn id="12" name="Technical owner"/>
    <x:tableColumn id="13" name="Priority"/>
    <x:tableColumn id="14" name="Evidence or example"/>
    <x:tableColumn id="15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ProcessOwnershipTable" displayName="ProcessOwnershipTable" ref="A6:M11" headerRowCount="1">
  <x:tableColumns count="13">
    <x:tableColumn id="1" name="Stage"/>
    <x:tableColumn id="2" name="Core decision"/>
    <x:tableColumn id="3" name="Required inputs"/>
    <x:tableColumn id="4" name="Calculations or rules"/>
    <x:tableColumn id="5" name="Recommended owner"/>
    <x:tableColumn id="6" name="Current owner"/>
    <x:tableColumn id="7" name="Source system"/>
    <x:tableColumn id="8" name="Target system"/>
    <x:tableColumn id="9" name="Handoff method"/>
    <x:tableColumn id="10" name="Decision evidence"/>
    <x:tableColumn id="11" name="Gap"/>
    <x:tableColumn id="12" name="Priority"/>
    <x:tableColumn id="13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ScenarioContractManufacturerTable" displayName="ScenarioContractManufacturerTable" ref="A9:C21" headerRowCount="1">
  <x:tableColumns count="3">
    <x:tableColumn id="1" name="No."/>
    <x:tableColumn id="2" name="Requirement"/>
    <x:tableColumn id="3" name="Answer"/>
  </x:tableColumns>
  <x:tableStyleInfo name="TableStyleMedium2" showRowStripes="1"/>
</x:table>
</file>

<file path=xl/tables/table7.xml><?xml version="1.0" encoding="utf-8"?>
<x:table xmlns:x="http://schemas.openxmlformats.org/spreadsheetml/2006/main" id="7" name="ScenarioConfigurableEquipmentTable" displayName="ScenarioConfigurableEquipmentTable" ref="A43:C55" headerRowCount="1">
  <x:tableColumns count="3">
    <x:tableColumn id="1" name="No."/>
    <x:tableColumn id="2" name="Requirement"/>
    <x:tableColumn id="3" name="Answer"/>
  </x:tableColumns>
  <x:tableStyleInfo name="TableStyleMedium2" showRowStripes="1"/>
</x:table>
</file>

<file path=xl/tables/table8.xml><?xml version="1.0" encoding="utf-8"?>
<x:table xmlns:x="http://schemas.openxmlformats.org/spreadsheetml/2006/main" id="8" name="ScenarioStandardProductsTable" displayName="ScenarioStandardProductsTable" ref="A77:C89" headerRowCount="1">
  <x:tableColumns count="3">
    <x:tableColumn id="1" name="No."/>
    <x:tableColumn id="2" name="Requirement"/>
    <x:tableColumn id="3" name="Answer"/>
  </x:tableColumns>
  <x:tableStyleInfo name="TableStyleMedium2" showRowStripes="1"/>
</x:table>
</file>

<file path=xl/tables/table9.xml><?xml version="1.0" encoding="utf-8"?>
<x:table xmlns:x="http://schemas.openxmlformats.org/spreadsheetml/2006/main" id="9" name="WorkedExampleAssessmentTable" displayName="WorkedExampleAssessmentTable" ref="A6:C18" headerRowCount="1">
  <x:tableColumns count="3">
    <x:tableColumn id="1" name="No."/>
    <x:tableColumn id="2" name="Requirement"/>
    <x:tableColumn id="3" name="Answer"/>
  </x:tableColumns>
  <x:tableStyleInfo name="TableStyleMedium2" showRowStripes="1"/>
</x:table>
</file>

<file path=xl/tables/table10.xml><?xml version="1.0" encoding="utf-8"?>
<x:table xmlns:x="http://schemas.openxmlformats.org/spreadsheetml/2006/main" id="10" name="WorkedExampleOwnershipTable" displayName="WorkedExampleOwnershipTable" ref="A22:B27" headerRowCount="1">
  <x:tableColumns count="2">
    <x:tableColumn id="1" name="Stage"/>
    <x:tableColumn id="2" name="Recommended owner"/>
  </x:tableColumns>
  <x:tableStyleInfo name="TableStyleMedium2" showRowStripes="1"/>
</x:table>
</file>

<file path=xl/tables/table11.xml><?xml version="1.0" encoding="utf-8"?>
<x:table xmlns:x="http://schemas.openxmlformats.org/spreadsheetml/2006/main" id="11" name="DefinitionsScoringMatrixTable" displayName="DefinitionsScoringMatrixTable" ref="A21:F34" headerRowCount="1">
  <x:tableColumns count="6">
    <x:tableColumn id="1" name="No."/>
    <x:tableColumn id="2" name="Requirement"/>
    <x:tableColumn id="3" name="Estimating weight"/>
    <x:tableColumn id="4" name="Configuration weight"/>
    <x:tableColumn id="5" name="Quoting weight"/>
    <x:tableColumn id="6" name="Answer sca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85f101c989046c4" /><Relationship Type="http://schemas.openxmlformats.org/officeDocument/2006/relationships/table" Target="/xl/tables/table1.xml" Id="R9d94c024a6ec44b1" /><Relationship Type="http://schemas.openxmlformats.org/officeDocument/2006/relationships/table" Target="/xl/tables/table2.xml" Id="R3790b73b7f4f48c6" /><Relationship Type="http://schemas.openxmlformats.org/officeDocument/2006/relationships/table" Target="/xl/tables/table3.xml" Id="Rab4f456570f148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07c895462fb842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7f902a80a3c34a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a3ef7e0bb9134594" /><Relationship Type="http://schemas.openxmlformats.org/officeDocument/2006/relationships/table" Target="/xl/tables/table7.xml" Id="R6d2070cfd0c344f2" /><Relationship Type="http://schemas.openxmlformats.org/officeDocument/2006/relationships/table" Target="/xl/tables/table8.xml" Id="R9b1f40f250bf40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ad9321cbf09b4858" /><Relationship Type="http://schemas.openxmlformats.org/officeDocument/2006/relationships/table" Target="/xl/tables/table9.xml" Id="R5c10dcbcc529426e" /><Relationship Type="http://schemas.openxmlformats.org/officeDocument/2006/relationships/table" Target="/xl/tables/table10.xml" Id="R1d5e4505a07741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1.xml" Id="R1edbf5d80043407b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9" hidden="0" customWidth="1"/>
    <x:col min="3" max="3" width="43" hidden="0" customWidth="1"/>
    <x:col min="4" max="4" width="16" hidden="0" customWidth="1"/>
    <x:col min="5" max="5" width="13" hidden="0" customWidth="1"/>
    <x:col min="6" max="6" width="15" hidden="0" customWidth="1"/>
    <x:col min="7" max="7" width="13" hidden="0" customWidth="1"/>
    <x:col min="8" max="8" width="3" hidden="0" customWidth="1"/>
    <x:col min="9" max="9" width="24" hidden="0" customWidth="1"/>
    <x:col min="10" max="10" width="18" hidden="0" customWidth="1"/>
    <x:col min="11" max="11" width="20" hidden="0" customWidth="1"/>
    <x:col min="12" max="12" width="20" hidden="0" customWidth="1"/>
    <x:col min="13" max="13" width="22" hidden="0" customWidth="1"/>
    <x:col min="14" max="14" width="24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</x:cols>
  <x:sheetData>
    <x:row r="1" ht="30" customHeight="1">
      <x:c r="A1" s="5" t="str">
        <x:v>Configure to WIN | Manufacturing Software Decision Tool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4" customHeight="1">
      <x:c r="A2" s="14" t="str">
        <x:v>Estimating vs quoting vs CPQ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3" ht="34" customHeight="1">
      <x:c r="A3" s="24" t="str">
        <x:v>Assess whether your manufacturing quote process needs cost estimating, product configuration, commercial quote control or a connected combination.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4" ht="34" customHeight="1">
      <x:c r="A4" s="38" t="str">
        <x:v>Requirement scores are based only on the answers entered in this workbook. They are not vendor ratings, market benchmarks or implementation guarantees.</x:v>
      </x:c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40"/>
    </x:row>
    <x:row r="6" ht="24" customHeight="1">
      <x:c r="A6" s="55" t="str">
        <x:v>Cost estimation</x:v>
      </x:c>
      <x:c r="B6" s="55"/>
      <x:c r="C6" s="55"/>
      <x:c r="D6" s="55"/>
      <x:c r="E6" s="55"/>
      <x:c r="F6" s="55"/>
      <x:c r="G6" s="55"/>
      <x:c r="I6" s="155" t="str">
        <x:v>Instructions</x:v>
      </x:c>
      <x:c r="J6" s="155"/>
      <x:c r="K6" s="155"/>
      <x:c r="L6" s="155"/>
      <x:c r="M6" s="155"/>
      <x:c r="N6" s="155"/>
    </x:row>
    <x:row r="7" ht="46" customHeight="1">
      <x:c r="A7" s="71" t="str">
        <x:v>Number</x:v>
      </x:c>
      <x:c r="B7" s="72" t="str">
        <x:v>Requirement</x:v>
      </x:c>
      <x:c r="C7" s="72" t="str">
        <x:v>Description</x:v>
      </x:c>
      <x:c r="D7" s="72" t="str">
        <x:v>Answer</x:v>
      </x:c>
      <x:c r="E7" s="72" t="str">
        <x:v>Estimating weight</x:v>
      </x:c>
      <x:c r="F7" s="72" t="str">
        <x:v>Configuration weight</x:v>
      </x:c>
      <x:c r="G7" s="73" t="str">
        <x:v>Quoting weight</x:v>
      </x:c>
      <x:c r="I7" s="161" t="str">
        <x:v>1. Select one answer for every requirement.</x:v>
      </x:c>
      <x:c r="J7" s="162"/>
      <x:c r="K7" s="162"/>
      <x:c r="L7" s="162"/>
      <x:c r="M7" s="162"/>
      <x:c r="N7" s="163"/>
    </x:row>
    <x:row r="8" ht="52" customHeight="1">
      <x:c r="A8" s="97" t="n">
        <x:v>1</x:v>
      </x:c>
      <x:c r="B8" s="124" t="str">
        <x:v>Calculate material, labor, machine, tooling, setup, subcontracting and overhead cost</x:v>
      </x:c>
      <x:c r="C8" s="124" t="str">
        <x:v>Determine the expected manufacturing cost from direct and indirect production inputs.</x:v>
      </x:c>
      <x:c r="D8" s="130"/>
      <x:c r="E8" s="142" t="n">
        <x:v>3</x:v>
      </x:c>
      <x:c r="F8" s="136" t="n">
        <x:v>0</x:v>
      </x:c>
      <x:c r="G8" s="137" t="n">
        <x:v>0</x:v>
      </x:c>
      <x:c r="I8" s="161" t="str">
        <x:v>2. Add the primary bottleneck.</x:v>
      </x:c>
      <x:c r="J8" s="162"/>
      <x:c r="K8" s="162"/>
      <x:c r="L8" s="162"/>
      <x:c r="M8" s="162"/>
      <x:c r="N8" s="163"/>
    </x:row>
    <x:row r="9" ht="52" customHeight="1">
      <x:c r="A9" s="100" t="n">
        <x:v>2</x:v>
      </x:c>
      <x:c r="B9" s="125" t="str">
        <x:v>Use routings, operation times, batch sizes, scrap, yield and setup assumptions</x:v>
      </x:c>
      <x:c r="C9" s="125" t="str">
        <x:v>Model how manufacturing process assumptions influence expected cost and effort.</x:v>
      </x:c>
      <x:c r="D9" s="131"/>
      <x:c r="E9" s="143" t="n">
        <x:v>2</x:v>
      </x:c>
      <x:c r="F9" s="138" t="n">
        <x:v>0</x:v>
      </x:c>
      <x:c r="G9" s="139" t="n">
        <x:v>0</x:v>
      </x:c>
      <x:c r="I9" s="161" t="str">
        <x:v>3. Record which systems already exist.</x:v>
      </x:c>
      <x:c r="J9" s="162"/>
      <x:c r="K9" s="162"/>
      <x:c r="L9" s="162"/>
      <x:c r="M9" s="162"/>
      <x:c r="N9" s="163"/>
    </x:row>
    <x:row r="10" ht="52" customHeight="1">
      <x:c r="A10" s="100" t="n">
        <x:v>3</x:v>
      </x:c>
      <x:c r="B10" s="125" t="str">
        <x:v>Compare alternative materials, processes or estimate revisions</x:v>
      </x:c>
      <x:c r="C10" s="125" t="str">
        <x:v>Evaluate alternative production approaches or successive estimate versions.</x:v>
      </x:c>
      <x:c r="D10" s="131"/>
      <x:c r="E10" s="143" t="n">
        <x:v>1</x:v>
      </x:c>
      <x:c r="F10" s="138" t="n">
        <x:v>0</x:v>
      </x:c>
      <x:c r="G10" s="139" t="n">
        <x:v>0</x:v>
      </x:c>
      <x:c r="I10" s="161" t="str">
        <x:v>4. Review the requirement scores and recommended ownership.</x:v>
      </x:c>
      <x:c r="J10" s="162"/>
      <x:c r="K10" s="162"/>
      <x:c r="L10" s="162"/>
      <x:c r="M10" s="162"/>
      <x:c r="N10" s="163"/>
    </x:row>
    <x:row r="11" ht="52" customHeight="1">
      <x:c r="A11" s="103" t="n">
        <x:v>4</x:v>
      </x:c>
      <x:c r="B11" s="126" t="str">
        <x:v>Compare estimated cost with actual manufacturing cost</x:v>
      </x:c>
      <x:c r="C11" s="126" t="str">
        <x:v>Create a feedback loop between estimates and realised manufacturing outcomes.</x:v>
      </x:c>
      <x:c r="D11" s="132"/>
      <x:c r="E11" s="144" t="n">
        <x:v>2</x:v>
      </x:c>
      <x:c r="F11" s="140" t="n">
        <x:v>0</x:v>
      </x:c>
      <x:c r="G11" s="141" t="n">
        <x:v>0</x:v>
      </x:c>
      <x:c r="I11" s="161" t="str">
        <x:v>5. Use the Requirements matrix for detailed project planning.</x:v>
      </x:c>
      <x:c r="J11" s="162"/>
      <x:c r="K11" s="162"/>
      <x:c r="L11" s="162"/>
      <x:c r="M11" s="162"/>
      <x:c r="N11" s="163"/>
    </x:row>
    <x:row r="13" ht="24" customHeight="1">
      <x:c r="A13" s="55" t="str">
        <x:v>Product configuration</x:v>
      </x:c>
      <x:c r="B13" s="55"/>
      <x:c r="C13" s="55"/>
      <x:c r="D13" s="55"/>
      <x:c r="E13" s="55"/>
      <x:c r="F13" s="55"/>
      <x:c r="G13" s="55"/>
      <x:c r="I13" s="55" t="str">
        <x:v>Context inputs</x:v>
      </x:c>
      <x:c r="J13" s="55"/>
      <x:c r="K13" s="55"/>
      <x:c r="L13" s="55"/>
      <x:c r="M13" s="55"/>
      <x:c r="N13" s="55"/>
    </x:row>
    <x:row r="14" ht="46" customHeight="1">
      <x:c r="A14" s="71" t="str">
        <x:v>Number</x:v>
      </x:c>
      <x:c r="B14" s="72" t="str">
        <x:v>Requirement</x:v>
      </x:c>
      <x:c r="C14" s="72" t="str">
        <x:v>Description</x:v>
      </x:c>
      <x:c r="D14" s="72" t="str">
        <x:v>Answer</x:v>
      </x:c>
      <x:c r="E14" s="72" t="str">
        <x:v>Estimating weight</x:v>
      </x:c>
      <x:c r="F14" s="72" t="str">
        <x:v>Configuration weight</x:v>
      </x:c>
      <x:c r="G14" s="73" t="str">
        <x:v>Quoting weight</x:v>
      </x:c>
      <x:c r="I14" s="161" t="str">
        <x:v>Primary bottleneck</x:v>
      </x:c>
      <x:c r="J14" s="162"/>
      <x:c r="K14" s="163"/>
      <x:c r="L14" s="161"/>
      <x:c r="M14" s="162"/>
      <x:c r="N14" s="163"/>
    </x:row>
    <x:row r="15" ht="52" customHeight="1">
      <x:c r="A15" s="97" t="n">
        <x:v>5</x:v>
      </x:c>
      <x:c r="B15" s="124" t="str">
        <x:v>Enforce valid product options, dependencies and compatibility rules</x:v>
      </x:c>
      <x:c r="C15" s="124" t="str">
        <x:v>Prevent technically invalid combinations and incompatible product selections.</x:v>
      </x:c>
      <x:c r="D15" s="130"/>
      <x:c r="E15" s="142" t="n">
        <x:v>0</x:v>
      </x:c>
      <x:c r="F15" s="136" t="n">
        <x:v>3</x:v>
      </x:c>
      <x:c r="G15" s="137" t="n">
        <x:v>0</x:v>
      </x:c>
      <x:c r="I15" s="161" t="str">
        <x:v>Architecture preference</x:v>
      </x:c>
      <x:c r="J15" s="162"/>
      <x:c r="K15" s="163"/>
      <x:c r="L15" s="161" t="str">
        <x:v>No preference — recommend the clearest ownership model</x:v>
      </x:c>
      <x:c r="M15" s="162"/>
      <x:c r="N15" s="163"/>
    </x:row>
    <x:row r="16" ht="52" customHeight="1">
      <x:c r="A16" s="100" t="n">
        <x:v>6</x:v>
      </x:c>
      <x:c r="B16" s="125" t="str">
        <x:v>Use CAD, BOM or engineering-rule logic</x:v>
      </x:c>
      <x:c r="C16" s="125" t="str">
        <x:v>Use engineering structures and rules to support configuration decisions.</x:v>
      </x:c>
      <x:c r="D16" s="131"/>
      <x:c r="E16" s="143" t="n">
        <x:v>0</x:v>
      </x:c>
      <x:c r="F16" s="138" t="n">
        <x:v>3</x:v>
      </x:c>
      <x:c r="G16" s="139" t="n">
        <x:v>0</x:v>
      </x:c>
    </x:row>
    <x:row r="17" ht="24" customHeight="1">
      <x:c r="A17" s="100" t="n">
        <x:v>7</x:v>
      </x:c>
      <x:c r="B17" s="125" t="str">
        <x:v>Guide users through configurable or engineer-to-order products</x:v>
      </x:c>
      <x:c r="C17" s="125" t="str">
        <x:v>Guide users through complex option selection or engineered solution definition.</x:v>
      </x:c>
      <x:c r="D17" s="131"/>
      <x:c r="E17" s="143" t="n">
        <x:v>0</x:v>
      </x:c>
      <x:c r="F17" s="138" t="n">
        <x:v>2</x:v>
      </x:c>
      <x:c r="G17" s="139" t="n">
        <x:v>0</x:v>
      </x:c>
      <x:c r="I17" s="55" t="str">
        <x:v>Existing-system flags</x:v>
      </x:c>
      <x:c r="J17" s="55"/>
      <x:c r="K17" s="55"/>
      <x:c r="L17" s="55"/>
      <x:c r="M17" s="55"/>
      <x:c r="N17" s="55"/>
    </x:row>
    <x:row r="18" ht="52" customHeight="1">
      <x:c r="A18" s="103" t="n">
        <x:v>8</x:v>
      </x:c>
      <x:c r="B18" s="126" t="str">
        <x:v>Manage configuration revisions and technical validation</x:v>
      </x:c>
      <x:c r="C18" s="126" t="str">
        <x:v>Control changes, revisions and technical approval of the selected configuration.</x:v>
      </x:c>
      <x:c r="D18" s="132"/>
      <x:c r="E18" s="144" t="n">
        <x:v>0</x:v>
      </x:c>
      <x:c r="F18" s="140" t="n">
        <x:v>1</x:v>
      </x:c>
      <x:c r="G18" s="141" t="n">
        <x:v>0</x:v>
      </x:c>
      <x:c r="I18" s="71" t="str">
        <x:v>System</x:v>
      </x:c>
      <x:c r="J18" s="72"/>
      <x:c r="K18" s="72"/>
      <x:c r="L18" s="72"/>
      <x:c r="M18" s="72"/>
      <x:c r="N18" s="73" t="str">
        <x:v>Present?</x:v>
      </x:c>
    </x:row>
    <x:row r="19">
      <x:c r="I19" s="161" t="str">
        <x:v>Estimating software</x:v>
      </x:c>
      <x:c r="J19" s="162"/>
      <x:c r="K19" s="162"/>
      <x:c r="L19" s="162"/>
      <x:c r="M19" s="163"/>
      <x:c r="N19" s="171" t="str">
        <x:v>No</x:v>
      </x:c>
    </x:row>
    <x:row r="20" ht="24" customHeight="1">
      <x:c r="A20" s="55" t="str">
        <x:v>Commercial quote control</x:v>
      </x:c>
      <x:c r="B20" s="55"/>
      <x:c r="C20" s="55"/>
      <x:c r="D20" s="55"/>
      <x:c r="E20" s="55"/>
      <x:c r="F20" s="55"/>
      <x:c r="G20" s="55"/>
      <x:c r="I20" s="161" t="str">
        <x:v>ERP or MRP</x:v>
      </x:c>
      <x:c r="J20" s="162"/>
      <x:c r="K20" s="162"/>
      <x:c r="L20" s="162"/>
      <x:c r="M20" s="163"/>
      <x:c r="N20" s="171" t="str">
        <x:v>No</x:v>
      </x:c>
    </x:row>
    <x:row r="21" ht="46" customHeight="1">
      <x:c r="A21" s="71" t="str">
        <x:v>Number</x:v>
      </x:c>
      <x:c r="B21" s="72" t="str">
        <x:v>Requirement</x:v>
      </x:c>
      <x:c r="C21" s="72" t="str">
        <x:v>Description</x:v>
      </x:c>
      <x:c r="D21" s="72" t="str">
        <x:v>Answer</x:v>
      </x:c>
      <x:c r="E21" s="72" t="str">
        <x:v>Estimating weight</x:v>
      </x:c>
      <x:c r="F21" s="72" t="str">
        <x:v>Configuration weight</x:v>
      </x:c>
      <x:c r="G21" s="73" t="str">
        <x:v>Quoting weight</x:v>
      </x:c>
      <x:c r="I21" s="161" t="str">
        <x:v>MES</x:v>
      </x:c>
      <x:c r="J21" s="162"/>
      <x:c r="K21" s="162"/>
      <x:c r="L21" s="162"/>
      <x:c r="M21" s="163"/>
      <x:c r="N21" s="171" t="str">
        <x:v>No</x:v>
      </x:c>
    </x:row>
    <x:row r="22" ht="52" customHeight="1">
      <x:c r="A22" s="97" t="n">
        <x:v>9</x:v>
      </x:c>
      <x:c r="B22" s="124" t="str">
        <x:v>Apply price lists, customer-specific pricing, currencies, discounts and margins</x:v>
      </x:c>
      <x:c r="C22" s="124" t="str">
        <x:v>Calculate controlled commercial outcomes from product, customer and pricing context.</x:v>
      </x:c>
      <x:c r="D22" s="130"/>
      <x:c r="E22" s="142" t="n">
        <x:v>0</x:v>
      </x:c>
      <x:c r="F22" s="136" t="n">
        <x:v>0</x:v>
      </x:c>
      <x:c r="G22" s="137" t="n">
        <x:v>3</x:v>
      </x:c>
      <x:c r="I22" s="161" t="str">
        <x:v>CAD or PLM</x:v>
      </x:c>
      <x:c r="J22" s="162"/>
      <x:c r="K22" s="162"/>
      <x:c r="L22" s="162"/>
      <x:c r="M22" s="163"/>
      <x:c r="N22" s="171" t="str">
        <x:v>No</x:v>
      </x:c>
    </x:row>
    <x:row r="23" ht="52" customHeight="1">
      <x:c r="A23" s="100" t="n">
        <x:v>10</x:v>
      </x:c>
      <x:c r="B23" s="125" t="str">
        <x:v>Trigger approval from margin, discount, floor price, deal value or commercial risk</x:v>
      </x:c>
      <x:c r="C23" s="125" t="str">
        <x:v>Route commercial exceptions through explicit approval policy.</x:v>
      </x:c>
      <x:c r="D23" s="131"/>
      <x:c r="E23" s="143" t="n">
        <x:v>0</x:v>
      </x:c>
      <x:c r="F23" s="138" t="n">
        <x:v>0</x:v>
      </x:c>
      <x:c r="G23" s="139" t="n">
        <x:v>3</x:v>
      </x:c>
      <x:c r="I23" s="161" t="str">
        <x:v>Product configurator or CPQ</x:v>
      </x:c>
      <x:c r="J23" s="162"/>
      <x:c r="K23" s="162"/>
      <x:c r="L23" s="162"/>
      <x:c r="M23" s="163"/>
      <x:c r="N23" s="171" t="str">
        <x:v>No</x:v>
      </x:c>
    </x:row>
    <x:row r="24" ht="52" customHeight="1">
      <x:c r="A24" s="100" t="n">
        <x:v>11</x:v>
      </x:c>
      <x:c r="B24" s="125" t="str">
        <x:v>Validate quote completeness and preserve an explainable decision trace</x:v>
      </x:c>
      <x:c r="C24" s="125" t="str">
        <x:v>Validate the quote and retain evidence explaining how the decision was reached.</x:v>
      </x:c>
      <x:c r="D24" s="131"/>
      <x:c r="E24" s="143" t="n">
        <x:v>0</x:v>
      </x:c>
      <x:c r="F24" s="138" t="n">
        <x:v>0</x:v>
      </x:c>
      <x:c r="G24" s="139" t="n">
        <x:v>2</x:v>
      </x:c>
      <x:c r="I24" s="161" t="str">
        <x:v>CRM or quoting software</x:v>
      </x:c>
      <x:c r="J24" s="162"/>
      <x:c r="K24" s="162"/>
      <x:c r="L24" s="162"/>
      <x:c r="M24" s="163"/>
      <x:c r="N24" s="171" t="str">
        <x:v>No</x:v>
      </x:c>
    </x:row>
    <x:row r="25" ht="52" customHeight="1">
      <x:c r="A25" s="103" t="n">
        <x:v>12</x:v>
      </x:c>
      <x:c r="B25" s="126" t="str">
        <x:v>Produce customer-ready quote output from approved data</x:v>
      </x:c>
      <x:c r="C25" s="126" t="str">
        <x:v>Create the customer-facing quote from approved and validated information.</x:v>
      </x:c>
      <x:c r="D25" s="132"/>
      <x:c r="E25" s="144" t="n">
        <x:v>0</x:v>
      </x:c>
      <x:c r="F25" s="140" t="n">
        <x:v>0</x:v>
      </x:c>
      <x:c r="G25" s="141" t="n">
        <x:v>1</x:v>
      </x:c>
      <x:c r="I25" s="161" t="str">
        <x:v>Proposal or document software</x:v>
      </x:c>
      <x:c r="J25" s="162"/>
      <x:c r="K25" s="162"/>
      <x:c r="L25" s="162"/>
      <x:c r="M25" s="163"/>
      <x:c r="N25" s="171" t="str">
        <x:v>No</x:v>
      </x:c>
    </x:row>
    <x:row r="26">
      <x:c r="I26" s="161" t="str">
        <x:v>None of these</x:v>
      </x:c>
      <x:c r="J26" s="162"/>
      <x:c r="K26" s="162"/>
      <x:c r="L26" s="162"/>
      <x:c r="M26" s="163"/>
      <x:c r="N26" s="171" t="str">
        <x:v>No</x:v>
      </x:c>
    </x:row>
    <x:row r="28" ht="24" customHeight="1">
      <x:c r="A28" s="55" t="str">
        <x:v>Configure to WIN resources</x:v>
      </x:c>
      <x:c r="B28" s="55"/>
      <x:c r="C28" s="55"/>
      <x:c r="D28" s="55"/>
      <x:c r="E28" s="55"/>
      <x:c r="F28" s="55"/>
      <x:c r="G28" s="55"/>
    </x:row>
    <x:row r="29" ht="24" customHeight="1">
      <x:c r="A29" s="335" t="str">
        <x:v>https://configure.win/resources/manufacturing-software-decision-tool</x:v>
      </x:c>
      <x:c r="B29" s="335"/>
      <x:c r="C29" s="335"/>
      <x:c r="D29" s="335"/>
      <x:c r="E29" s="335"/>
      <x:c r="F29" s="335"/>
      <x:c r="G29" s="335"/>
      <x:c r="I29" s="155" t="str">
        <x:v>Assessment result</x:v>
      </x:c>
      <x:c r="J29" s="155"/>
      <x:c r="K29" s="155"/>
      <x:c r="L29" s="155"/>
      <x:c r="M29" s="155"/>
      <x:c r="N29" s="155"/>
    </x:row>
    <x:row r="30">
      <x:c r="A30" s="335" t="str">
        <x:v>https://configure.win/resources/manufacturing-quoting-software-vs-estimating-software</x:v>
      </x:c>
      <x:c r="B30" s="335"/>
      <x:c r="C30" s="335"/>
      <x:c r="D30" s="335"/>
      <x:c r="E30" s="335"/>
      <x:c r="F30" s="335"/>
      <x:c r="G30" s="335"/>
      <x:c r="I30" s="71" t="str">
        <x:v>Category</x:v>
      </x:c>
      <x:c r="J30" s="72" t="str">
        <x:v>Score</x:v>
      </x:c>
      <x:c r="K30" s="72" t="str">
        <x:v>Intensity</x:v>
      </x:c>
      <x:c r="L30" s="72" t="str">
        <x:v>Category role</x:v>
      </x:c>
      <x:c r="M30" s="72"/>
      <x:c r="N30" s="73"/>
    </x:row>
    <x:row r="31">
      <x:c r="A31" s="335" t="str">
        <x:v>https://configure.win/quoting-software-for-manufacturing</x:v>
      </x:c>
      <x:c r="B31" s="335"/>
      <x:c r="C31" s="335"/>
      <x:c r="D31" s="335"/>
      <x:c r="E31" s="335"/>
      <x:c r="F31" s="335"/>
      <x:c r="G31" s="335"/>
      <x:c r="I31" s="130" t="str">
        <x:v>Estimating</x:v>
      </x:c>
      <x:c r="J31" s="202" t="n">
        <x:f>ROUND((IF($D$8="Essential",2,IF($D$8="Helpful",1,0))*3 + IF($D$9="Essential",2,IF($D$9="Helpful",1,0))*2 + IF($D$10="Essential",2,IF($D$10="Helpful",1,0))*1 + IF($D$11="Essential",2,IF($D$11="Helpful",1,0))*2)/16*100,2)</x:f>
        <x:v>0</x:v>
      </x:c>
      <x:c r="K31" s="213" t="str">
        <x:f>IF($J$31&gt;=65,"High requirement",IF($J$31&gt;=40,"Moderate requirement","Low requirement"))</x:f>
        <x:v>Low requirement</x:v>
      </x:c>
      <x:c r="L31" s="142" t="str">
        <x:f>IF($J$31&gt;=65,"Core category",IF(AND((IF($J$31&gt;=65,1,0)+IF($J$32&gt;=65,1,0)+IF($J$33&gt;=65,1,0))=1,$J$31&gt;=50),"Supporting category",IF($J$31&gt;=40,"Requirement to validate","No dedicated component indicated")))</x:f>
        <x:v>No dedicated component indicated</x:v>
      </x:c>
      <x:c r="M31" s="136"/>
      <x:c r="N31" s="137"/>
    </x:row>
    <x:row r="32">
      <x:c r="I32" s="131" t="str">
        <x:v>Configuration</x:v>
      </x:c>
      <x:c r="J32" s="203" t="n">
        <x:f>ROUND((IF($D$15="Essential",2,IF($D$15="Helpful",1,0))*3 + IF($D$16="Essential",2,IF($D$16="Helpful",1,0))*3 + IF($D$17="Essential",2,IF($D$17="Helpful",1,0))*2 + IF($D$18="Essential",2,IF($D$18="Helpful",1,0))*1)/18*100,2)</x:f>
        <x:v>0</x:v>
      </x:c>
      <x:c r="K32" s="214" t="str">
        <x:f>IF($J$32&gt;=65,"High requirement",IF($J$32&gt;=40,"Moderate requirement","Low requirement"))</x:f>
        <x:v>Low requirement</x:v>
      </x:c>
      <x:c r="L32" s="143" t="str">
        <x:f>IF($J$32&gt;=65,"Core category",IF(AND((IF($J$31&gt;=65,1,0)+IF($J$32&gt;=65,1,0)+IF($J$33&gt;=65,1,0))=1,$J$32&gt;=50),"Supporting category",IF($J$32&gt;=40,"Requirement to validate","No dedicated component indicated")))</x:f>
        <x:v>No dedicated component indicated</x:v>
      </x:c>
      <x:c r="M32" s="138"/>
      <x:c r="N32" s="139"/>
    </x:row>
    <x:row r="33">
      <x:c r="I33" s="132" t="str">
        <x:v>Quoting</x:v>
      </x:c>
      <x:c r="J33" s="204" t="n">
        <x:f>ROUND((IF($D$22="Essential",2,IF($D$22="Helpful",1,0))*3 + IF($D$23="Essential",2,IF($D$23="Helpful",1,0))*3 + IF($D$24="Essential",2,IF($D$24="Helpful",1,0))*2 + IF($D$25="Essential",2,IF($D$25="Helpful",1,0))*1)/18*100,2)</x:f>
        <x:v>0</x:v>
      </x:c>
      <x:c r="K33" s="215" t="str">
        <x:f>IF($J$33&gt;=65,"High requirement",IF($J$33&gt;=40,"Moderate requirement","Low requirement"))</x:f>
        <x:v>Low requirement</x:v>
      </x:c>
      <x:c r="L33" s="144" t="str">
        <x:f>IF($J$33&gt;=65,"Core category",IF(AND((IF($J$31&gt;=65,1,0)+IF($J$32&gt;=65,1,0)+IF($J$33&gt;=65,1,0))=1,$J$33&gt;=50),"Supporting category",IF($J$33&gt;=40,"Requirement to validate","No dedicated component indicated")))</x:f>
        <x:v>No dedicated component indicated</x:v>
      </x:c>
      <x:c r="M33" s="140"/>
      <x:c r="N33" s="141"/>
    </x:row>
    <x:row r="35">
      <x:c r="I35" s="161" t="str">
        <x:v>Recommendation</x:v>
      </x:c>
      <x:c r="J35" s="163"/>
      <x:c r="K35" s="251" t="str">
        <x:f>IF((IF($J$31&gt;=65,1,0)+IF($J$32&gt;=65,1,0)+IF($J$33&gt;=65,1,0))&gt;=2,"Combination of systems",IF((IF($J$31&gt;=65,1,0)+IF($J$32&gt;=65,1,0)+IF($J$33&gt;=65,1,0))=1,IF($J$31&gt;=65,"Manufacturing estimating software",IF($J$32&gt;=65,"CPQ/product configurator","Manufacturing quoting software")),IF(MAX($J$31,$J$32,$J$33)&lt;40,"No dedicated component indicated",IF(AND($L$14="Connecting all three decisions",(IF($J$31&gt;=40,1,0)+IF($J$32&gt;=40,1,0)+IF($J$33&gt;=40,1,0))&gt;=2),"Combination of systems",IF(AND($L$14="Determining what the product or project will cost to make",$J$31&gt;=40),"Manufacturing estimating software",IF(AND($L$14="Determining which product configuration is technically valid",$J$32&gt;=40),"CPQ/product configurator",IF(AND($L$14="Determining the customer price, margin and approval path",$J$33&gt;=40),"Manufacturing quoting software",IF($J$31=MAX($J$31,$J$32,$J$33),"Manufacturing estimating software",IF($J$32=MAX($J$31,$J$32,$J$33),"CPQ/product configurator","Manufacturing quoting software")))))))))</x:f>
        <x:v>No dedicated component indicated</x:v>
      </x:c>
      <x:c r="L35" s="252"/>
      <x:c r="M35" s="252"/>
      <x:c r="N35" s="253"/>
    </x:row>
    <x:row r="38">
      <x:c r="I38" s="161" t="str">
        <x:v>Architecture subtitle</x:v>
      </x:c>
      <x:c r="J38" s="163"/>
      <x:c r="K38" s="271" t="str">
        <x:f>IF($K$35="Combination of systems",IF($L$15="One integrated platform where practical","Integrated platform where practical, with explicit ownership for estimating, configuration and quoting.",IF($L$15="Connected specialist systems are acceptable","Connected specialist systems with governed data and decision handoffs.","Use the clearest ownership model across estimating, configuration and quoting.")),IF($K$35="No dedicated component indicated","Validate requirements before selecting a dedicated software component.","Primary ownership in "&amp;$K$35&amp;" with adjacent systems connected as needed."))</x:f>
        <x:v>Validate requirements before selecting a dedicated software component.</x:v>
      </x:c>
      <x:c r="L38" s="272"/>
      <x:c r="M38" s="272"/>
      <x:c r="N38" s="273"/>
    </x:row>
    <x:row r="41">
      <x:c r="I41" s="161" t="str">
        <x:v>Primary system</x:v>
      </x:c>
      <x:c r="J41" s="163"/>
      <x:c r="K41" s="271" t="str">
        <x:f>IF(AND(OR(MAX($J$31,$J$32,$J$33)&lt;65,MAX($J$31,$J$32,$J$33)-($J$31+$J$32+$J$33-MAX($J$31,$J$32,$J$33)-MIN($J$31,$J$32,$J$33))&lt;=7),$L$14&lt;&gt;""),IF($L$14="Determining what the product or project will cost to make","Manufacturing estimating software",IF($L$14="Determining which product configuration is technically valid","CPQ/product configurator",IF($L$14="Determining the customer price, margin and approval path","Manufacturing quoting software","Shared ownership across estimating, configuration and quoting"))),IF($K$35="Combination of systems","Shared ownership across the required categories",$K$35))</x:f>
        <x:v>No dedicated component indicated</x:v>
      </x:c>
      <x:c r="L41" s="272"/>
      <x:c r="M41" s="272"/>
      <x:c r="N41" s="273"/>
    </x:row>
    <x:row r="44">
      <x:c r="I44" s="161" t="str">
        <x:v>Supporting system or systems</x:v>
      </x:c>
      <x:c r="J44" s="163"/>
      <x:c r="K44" s="271" t="str">
        <x:f>IF($K$35="Combination of systems",IF($J$31&gt;=65,"Manufacturing estimating software; ","")&amp;IF($J$32&gt;=65,"CPQ/product configurator; ","")&amp;IF($J$33&gt;=65,"Manufacturing quoting software",""),IF((IF($J$31&gt;=65,1,0)+IF($J$32&gt;=65,1,0)+IF($J$33&gt;=65,1,0))=1,IF(AND($J$31&gt;=50,$J$31&lt;65),"Manufacturing estimating software; ","")&amp;IF(AND($J$32&gt;=50,$J$32&lt;65),"CPQ/product configurator; ","")&amp;IF(AND($J$33&gt;=50,$J$33&lt;65),"Manufacturing quoting software",""),"None indicated by current thresholds"))</x:f>
        <x:v>None indicated by current thresholds</x:v>
      </x:c>
      <x:c r="L44" s="272"/>
      <x:c r="M44" s="272"/>
      <x:c r="N44" s="273"/>
    </x:row>
    <x:row r="47">
      <x:c r="I47" s="161" t="str">
        <x:v>Existing-system gap summary</x:v>
      </x:c>
      <x:c r="J47" s="163"/>
      <x:c r="K47" s="142" t="str">
        <x:f>IF((IF($J$31&gt;=65,1,0)+IF($J$32&gt;=65,1,0)+IF($J$33&gt;=65,1,0))=0,"No core category is currently indicated. ","")&amp;IF(AND($J$31&gt;=65,$N$19="Yes"),"Estimating core requirement appears covered by existing estimating software. ","")&amp;IF(AND($J$31&gt;=65,$N$19&lt;&gt;"Yes"),"Uncovered estimating core requirement. ","")&amp;IF(AND($J$32&gt;=65,$N$23="Yes"),"Configuration core requirement appears covered by an existing configurator or CPQ. ","")&amp;IF(AND($J$32&gt;=65,$N$23&lt;&gt;"Yes"),"Uncovered configuration core requirement. ","")&amp;IF(AND($J$33&gt;=65,OR($N$23="Yes",$N$24="Yes")),"Commercial quoting core requirement appears covered by an existing CPQ or quoting system. ","")&amp;IF(AND($J$33&gt;=65,$N$23&lt;&gt;"Yes",$N$24&lt;&gt;"Yes"),"Uncovered commercial quoting core requirement. ","")</x:f>
        <x:v>No core category is currently indicated. </x:v>
      </x:c>
      <x:c r="L47" s="136"/>
      <x:c r="M47" s="136"/>
      <x:c r="N47" s="137"/>
    </x:row>
    <x:row r="48">
      <x:c r="K48" s="143"/>
      <x:c r="L48" s="138"/>
      <x:c r="M48" s="138"/>
      <x:c r="N48" s="139"/>
    </x:row>
    <x:row r="49">
      <x:c r="K49" s="144"/>
      <x:c r="L49" s="140"/>
      <x:c r="M49" s="140"/>
      <x:c r="N49" s="141"/>
    </x:row>
    <x:row r="51">
      <x:c r="I51" s="161" t="str">
        <x:v>Adjacent-system notes</x:v>
      </x:c>
      <x:c r="J51" s="163"/>
      <x:c r="K51" s="298" t="str">
        <x:f>IF($N$20="Yes","ERP/MRP may remain the owner of production planning, inventory, procurement and orders. ","")&amp;IF($N$21="Yes","MES may remain the source for actual production execution and realised outcomes. ","")&amp;IF($N$22="Yes","CAD/PLM may remain the owner of engineering master data, BOMs and revisions. ","")&amp;IF($N$24="Yes","CRM or quoting software may remain the owner of customer and opportunity context. ","")&amp;IF($N$25="Yes","Proposal or document software may remain the owner of presentation, delivery or e-signature. ","")&amp;IF(AND($N$20&lt;&gt;"Yes",$N$21&lt;&gt;"Yes",$N$22&lt;&gt;"Yes",$N$24&lt;&gt;"Yes",$N$25&lt;&gt;"Yes"),"Validate adjacent ownership for ERP/MRP, MES, CAD/PLM, CRM and document systems.","")</x:f>
        <x:v>Validate adjacent ownership for ERP/MRP, MES, CAD/PLM, CRM and document systems.</x:v>
      </x:c>
      <x:c r="L51" s="299"/>
      <x:c r="M51" s="299"/>
      <x:c r="N51" s="300"/>
    </x:row>
    <x:row r="52">
      <x:c r="K52" s="301"/>
      <x:c r="L52" s="302"/>
      <x:c r="M52" s="302"/>
      <x:c r="N52" s="303"/>
    </x:row>
    <x:row r="53">
      <x:c r="K53" s="304"/>
      <x:c r="L53" s="305"/>
      <x:c r="M53" s="305"/>
      <x:c r="N53" s="306"/>
    </x:row>
    <x:row r="60">
      <x:c r="O60" s="338" t="str">
        <x:v>Category</x:v>
      </x:c>
      <x:c r="P60" s="338" t="str">
        <x:v>Estimating</x:v>
      </x:c>
      <x:c r="Q60" s="338" t="str">
        <x:v>Configuration</x:v>
      </x:c>
      <x:c r="R60" s="338" t="str">
        <x:v>Quoting</x:v>
      </x:c>
    </x:row>
    <x:row r="61">
      <x:c r="O61" s="338" t="str">
        <x:v>Estimating</x:v>
      </x:c>
      <x:c r="P61" s="338" t="n">
        <x:f>$J$31</x:f>
        <x:v>0</x:v>
      </x:c>
      <x:c r="Q61" s="338" t="n">
        <x:v>0</x:v>
      </x:c>
      <x:c r="R61" s="338" t="n">
        <x:v>0</x:v>
      </x:c>
    </x:row>
    <x:row r="62">
      <x:c r="O62" s="338" t="str">
        <x:v>Configuration</x:v>
      </x:c>
      <x:c r="P62" s="338" t="n">
        <x:v>0</x:v>
      </x:c>
      <x:c r="Q62" s="338" t="n">
        <x:f>$J$32</x:f>
        <x:v>0</x:v>
      </x:c>
      <x:c r="R62" s="338" t="n">
        <x:v>0</x:v>
      </x:c>
    </x:row>
    <x:row r="63">
      <x:c r="O63" s="338" t="str">
        <x:v>Quoting</x:v>
      </x:c>
      <x:c r="P63" s="338" t="n">
        <x:v>0</x:v>
      </x:c>
      <x:c r="Q63" s="338" t="n">
        <x:v>0</x:v>
      </x:c>
      <x:c r="R63" s="338" t="n">
        <x:f>$J$33</x:f>
        <x:v>0</x:v>
      </x:c>
    </x:row>
  </x:sheetData>
  <x:mergeCells>
    <x:mergeCell ref="A1:N1"/>
    <x:mergeCell ref="A2:N2"/>
    <x:mergeCell ref="A3:N3"/>
    <x:mergeCell ref="A4:N4"/>
    <x:mergeCell ref="A6:G6"/>
    <x:mergeCell ref="A13:G13"/>
    <x:mergeCell ref="A20:G20"/>
    <x:mergeCell ref="I6:N6"/>
    <x:mergeCell ref="I7:N7"/>
    <x:mergeCell ref="I8:N8"/>
    <x:mergeCell ref="I9:N9"/>
    <x:mergeCell ref="I10:N10"/>
    <x:mergeCell ref="I11:N11"/>
    <x:mergeCell ref="I13:N13"/>
    <x:mergeCell ref="I14:K14"/>
    <x:mergeCell ref="L14:N14"/>
    <x:mergeCell ref="I15:K15"/>
    <x:mergeCell ref="L15:N15"/>
    <x:mergeCell ref="I17:N17"/>
    <x:mergeCell ref="I19:M19"/>
    <x:mergeCell ref="I20:M20"/>
    <x:mergeCell ref="I21:M21"/>
    <x:mergeCell ref="I22:M22"/>
    <x:mergeCell ref="I23:M23"/>
    <x:mergeCell ref="I24:M24"/>
    <x:mergeCell ref="I25:M25"/>
    <x:mergeCell ref="I26:M26"/>
    <x:mergeCell ref="I29:N29"/>
    <x:mergeCell ref="L31:N31"/>
    <x:mergeCell ref="L32:N32"/>
    <x:mergeCell ref="L33:N33"/>
    <x:mergeCell ref="I35:J35"/>
    <x:mergeCell ref="I38:J38"/>
    <x:mergeCell ref="I41:J41"/>
    <x:mergeCell ref="I44:J44"/>
    <x:mergeCell ref="I47:J47"/>
    <x:mergeCell ref="I51:J51"/>
    <x:mergeCell ref="K35:N35"/>
    <x:mergeCell ref="K38:N38"/>
    <x:mergeCell ref="K41:N41"/>
    <x:mergeCell ref="K44:N44"/>
    <x:mergeCell ref="K47:N49"/>
    <x:mergeCell ref="K51:N53"/>
    <x:mergeCell ref="A28:G28"/>
    <x:mergeCell ref="A29:G29"/>
    <x:mergeCell ref="A30:G30"/>
    <x:mergeCell ref="A31:G31"/>
  </x:mergeCells>
  <x:conditionalFormatting sqref="J31:J33">
    <x:cfRule type="dataBar" priority="1">
      <x:dataBar>
        <x:cfvo type="min"/>
        <x:cfvo type="max"/>
        <x:color rgb="FF06B6D4"/>
      </x:dataBar>
      <x:extLst>
        <x:ext xmlns:x14="http://schemas.microsoft.com/office/spreadsheetml/2009/9/main" uri="{B025F937-C7B1-47D3-B67F-A62EFF666E3E}">
          <x14:id>{50021654-390B-F74E-3A4A-1EA30639D710}</x14:id>
        </x:ext>
      </x:extLst>
    </x:cfRule>
  </x:conditionalFormatting>
  <x:conditionalFormatting sqref="K31:K33">
    <x:cfRule type="expression" dxfId="0" priority="2">
      <x:formula>$K31="High requirement"</x:formula>
    </x:cfRule>
    <x:cfRule type="expression" dxfId="1" priority="3">
      <x:formula>$K31="Moderate requirement"</x:formula>
    </x:cfRule>
    <x:cfRule type="expression" dxfId="2" priority="4">
      <x:formula>$K31="Low requirement"</x:formula>
    </x:cfRule>
  </x:conditionalFormatting>
  <x:conditionalFormatting sqref="K47:N49">
    <x:cfRule type="expression" dxfId="3" priority="5">
      <x:formula>ISNUMBER(SEARCH("Uncovered",$K$47))</x:formula>
    </x:cfRule>
    <x:cfRule type="expression" dxfId="4" priority="6">
      <x:formula>AND(NOT(ISNUMBER(SEARCH("Uncovered",$K$47))),ISNUMBER(SEARCH("covered",$K$47)))</x:formula>
    </x:cfRule>
  </x:conditionalFormatting>
  <x:dataValidations count="14">
    <x:dataValidation type="list" sqref="D8:D11">
      <x:formula1>Definitions!$J$2:$J$4</x:formula1>
    </x:dataValidation>
    <x:dataValidation type="list" sqref="D15:D18">
      <x:formula1>Definitions!$J$2:$J$4</x:formula1>
    </x:dataValidation>
    <x:dataValidation type="list" sqref="D22:D25">
      <x:formula1>Definitions!$J$2:$J$4</x:formula1>
    </x:dataValidation>
    <x:dataValidation type="list" sqref="L14">
      <x:formula1>Definitions!$K$2:$K$5</x:formula1>
    </x:dataValidation>
    <x:dataValidation type="list" sqref="L15">
      <x:formula1>Definitions!$L$2:$L$4</x:formula1>
    </x:dataValidation>
    <x:dataValidation type="list" sqref="N19">
      <x:formula1>"No,Yes"</x:formula1>
    </x:dataValidation>
    <x:dataValidation type="list" sqref="N20">
      <x:formula1>"No,Yes"</x:formula1>
    </x:dataValidation>
    <x:dataValidation type="list" sqref="N21">
      <x:formula1>"No,Yes"</x:formula1>
    </x:dataValidation>
    <x:dataValidation type="list" sqref="N22">
      <x:formula1>"No,Yes"</x:formula1>
    </x:dataValidation>
    <x:dataValidation type="list" sqref="N23">
      <x:formula1>"No,Yes"</x:formula1>
    </x:dataValidation>
    <x:dataValidation type="list" sqref="N24">
      <x:formula1>"No,Yes"</x:formula1>
    </x:dataValidation>
    <x:dataValidation type="list" sqref="N25">
      <x:formula1>"No,Yes"</x:formula1>
    </x:dataValidation>
    <x:dataValidation type="list" sqref="N26">
      <x:formula1>"No,Yes"</x:formula1>
    </x:dataValidation>
    <x:dataValidation type="list" sqref="N19:N26">
      <x:formula1>Definitions!$M$2:$M$3</x:formula1>
    </x:dataValidation>
  </x:dataValidations>
  <x:pageMargins left="0.7" right="0.7" top="0.75" bottom="0.75" header="0.3" footer="0.3"/>
  <x:drawing xmlns:r="http://schemas.openxmlformats.org/officeDocument/2006/relationships" r:id="Ra85f101c989046c4"/>
  <x:tableParts count="3">
    <x:tablePart xmlns:r="http://schemas.openxmlformats.org/officeDocument/2006/relationships" r:id="R9d94c024a6ec44b1"/>
    <x:tablePart xmlns:r="http://schemas.openxmlformats.org/officeDocument/2006/relationships" r:id="R3790b73b7f4f48c6"/>
    <x:tablePart xmlns:r="http://schemas.openxmlformats.org/officeDocument/2006/relationships" r:id="Rab4f456570f1486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0021654-390B-F74E-3A4A-1EA30639D710}">
            <x14:dataBar gradient="1">
              <x14:cfvo type="min"/>
              <x14:cfvo type="max"/>
              <x14:fillColor rgb="FF06B6D4"/>
            </x14:dataBar>
          </x14:cfRule>
          <xm:sqref>J31:J33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0" hidden="0" customWidth="1"/>
    <x:col min="4" max="4" width="48" hidden="0" customWidth="1"/>
    <x:col min="5" max="5" width="16" hidden="0" customWidth="1"/>
    <x:col min="6" max="6" width="18" hidden="0" customWidth="1"/>
    <x:col min="7" max="7" width="24" hidden="0" customWidth="1"/>
    <x:col min="8" max="8" width="19" hidden="0" customWidth="1"/>
    <x:col min="9" max="9" width="28" hidden="0" customWidth="1"/>
    <x:col min="10" max="10" width="24" hidden="0" customWidth="1"/>
    <x:col min="11" max="11" width="19" hidden="0" customWidth="1"/>
    <x:col min="12" max="12" width="21" hidden="0" customWidth="1"/>
    <x:col min="13" max="13" width="12" hidden="0" customWidth="1"/>
    <x:col min="14" max="14" width="32" hidden="0" customWidth="1"/>
    <x:col min="15" max="15" width="32" hidden="0" customWidth="1"/>
  </x:cols>
  <x:sheetData>
    <x:row r="1" ht="30" customHeight="1">
      <x:c r="A1" s="5" t="str">
        <x:v>Configure to WIN | Manufacturing Requirements Matrix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24" customHeight="1">
      <x:c r="A2" s="14" t="str">
        <x:v>Translate assessment outcomes into capability ownership, coverage, gaps, priorities and evidence.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</x:row>
    <x:row r="3" ht="34" customHeight="1">
      <x:c r="A3" s="24" t="str">
        <x:v>The matrix is a planning aid. Need levels can be linked to the Decision tool or completed directly for adjacent-system capabilities.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</x:row>
    <x:row r="5" ht="56" customHeight="1">
      <x:c r="A5" s="71" t="str">
        <x:v>Requirement ID</x:v>
      </x:c>
      <x:c r="B5" s="72" t="str">
        <x:v>Requirement group</x:v>
      </x:c>
      <x:c r="C5" s="72" t="str">
        <x:v>Capability</x:v>
      </x:c>
      <x:c r="D5" s="72" t="str">
        <x:v>Description</x:v>
      </x:c>
      <x:c r="E5" s="72" t="str">
        <x:v>Need level</x:v>
      </x:c>
      <x:c r="F5" s="72" t="str">
        <x:v>Current coverage</x:v>
      </x:c>
      <x:c r="G5" s="72" t="str">
        <x:v>Current system</x:v>
      </x:c>
      <x:c r="H5" s="72" t="str">
        <x:v>Gap</x:v>
      </x:c>
      <x:c r="I5" s="72" t="str">
        <x:v>Primary software category</x:v>
      </x:c>
      <x:c r="J5" s="72" t="str">
        <x:v>Adjacent system</x:v>
      </x:c>
      <x:c r="K5" s="72" t="str">
        <x:v>Business owner</x:v>
      </x:c>
      <x:c r="L5" s="72" t="str">
        <x:v>Technical owner</x:v>
      </x:c>
      <x:c r="M5" s="72" t="str">
        <x:v>Priority</x:v>
      </x:c>
      <x:c r="N5" s="72" t="str">
        <x:v>Evidence or example</x:v>
      </x:c>
      <x:c r="O5" s="73" t="str">
        <x:v>Notes</x:v>
      </x:c>
    </x:row>
    <x:row r="6" ht="50" customHeight="1">
      <x:c r="A6" s="342" t="str">
        <x:v>EST-01</x:v>
      </x:c>
      <x:c r="B6" s="124" t="str">
        <x:v>Cost estimating</x:v>
      </x:c>
      <x:c r="C6" s="124" t="str">
        <x:v>Material cost</x:v>
      </x:c>
      <x:c r="D6" s="124" t="str">
        <x:v>Calculate expected material consumption and purchase or standard cost.</x:v>
      </x:c>
      <x:c r="E6" s="343" t="n">
        <x:f>'Decision tool'!$D8</x:f>
        <x:v>0</x:v>
      </x:c>
      <x:c r="F6" s="344"/>
      <x:c r="G6" s="344"/>
      <x:c r="H6" s="343" t="str">
        <x:f>IF($E6="","",IF($E6="Not required","No gap",IF($F6="","",IF($F6="Covered","No gap",IF($B6="Cost estimating","Calculation gap",IF($B6="Product configuration","Configuration gap",IF($B6="Commercial quoting","Governance gap","Integration gap")))))))</x:f>
      </x:c>
      <x:c r="I6" s="343" t="str">
        <x:f>IF($A6="","","Manufacturing estimating software")</x:f>
        <x:v>Manufacturing estimating software</x:v>
      </x:c>
      <x:c r="J6" s="124" t="str">
        <x:v>ERP/MRP</x:v>
      </x:c>
      <x:c r="K6" s="124" t="str">
        <x:v>Operations / Estimating</x:v>
      </x:c>
      <x:c r="L6" s="124" t="str">
        <x:v>Enterprise applications</x:v>
      </x:c>
      <x:c r="M6" s="344"/>
      <x:c r="N6" s="345"/>
      <x:c r="O6" s="346"/>
    </x:row>
    <x:row r="7" ht="50" customHeight="1">
      <x:c r="A7" s="352" t="str">
        <x:v>EST-02</x:v>
      </x:c>
      <x:c r="B7" s="125" t="str">
        <x:v>Cost estimating</x:v>
      </x:c>
      <x:c r="C7" s="125" t="str">
        <x:v>Labor cost</x:v>
      </x:c>
      <x:c r="D7" s="125" t="str">
        <x:v>Calculate labor time, rates and skill-dependent cost.</x:v>
      </x:c>
      <x:c r="E7" s="343" t="n">
        <x:f>'Decision tool'!$D8</x:f>
        <x:v>0</x:v>
      </x:c>
      <x:c r="F7" s="344"/>
      <x:c r="G7" s="344"/>
      <x:c r="H7" s="343" t="str">
        <x:f>IF($E7="","",IF($E7="Not required","No gap",IF($F7="","",IF($F7="Covered","No gap",IF($B7="Cost estimating","Calculation gap",IF($B7="Product configuration","Configuration gap",IF($B7="Commercial quoting","Governance gap","Integration gap")))))))</x:f>
      </x:c>
      <x:c r="I7" s="343" t="str">
        <x:f>IF($A7="","","Manufacturing estimating software")</x:f>
        <x:v>Manufacturing estimating software</x:v>
      </x:c>
      <x:c r="J7" s="125" t="str">
        <x:v>ERP/MRP or MES</x:v>
      </x:c>
      <x:c r="K7" s="125" t="str">
        <x:v>Operations / Estimating</x:v>
      </x:c>
      <x:c r="L7" s="125" t="str">
        <x:v>Enterprise applications</x:v>
      </x:c>
      <x:c r="M7" s="344"/>
      <x:c r="N7" s="345"/>
      <x:c r="O7" s="346"/>
    </x:row>
    <x:row r="8" ht="50" customHeight="1">
      <x:c r="A8" s="352" t="str">
        <x:v>EST-03</x:v>
      </x:c>
      <x:c r="B8" s="125" t="str">
        <x:v>Cost estimating</x:v>
      </x:c>
      <x:c r="C8" s="125" t="str">
        <x:v>Machine cost</x:v>
      </x:c>
      <x:c r="D8" s="125" t="str">
        <x:v>Calculate machine time and machine-rate cost.</x:v>
      </x:c>
      <x:c r="E8" s="343" t="n">
        <x:f>'Decision tool'!$D8</x:f>
        <x:v>0</x:v>
      </x:c>
      <x:c r="F8" s="344"/>
      <x:c r="G8" s="344"/>
      <x:c r="H8" s="343" t="str">
        <x:f>IF($E8="","",IF($E8="Not required","No gap",IF($F8="","",IF($F8="Covered","No gap",IF($B8="Cost estimating","Calculation gap",IF($B8="Product configuration","Configuration gap",IF($B8="Commercial quoting","Governance gap","Integration gap")))))))</x:f>
      </x:c>
      <x:c r="I8" s="343" t="str">
        <x:f>IF($A8="","","Manufacturing estimating software")</x:f>
        <x:v>Manufacturing estimating software</x:v>
      </x:c>
      <x:c r="J8" s="125" t="str">
        <x:v>MES or ERP/MRP</x:v>
      </x:c>
      <x:c r="K8" s="125" t="str">
        <x:v>Operations / Estimating</x:v>
      </x:c>
      <x:c r="L8" s="125" t="str">
        <x:v>Manufacturing systems</x:v>
      </x:c>
      <x:c r="M8" s="344"/>
      <x:c r="N8" s="345"/>
      <x:c r="O8" s="346"/>
    </x:row>
    <x:row r="9" ht="50" customHeight="1">
      <x:c r="A9" s="352" t="str">
        <x:v>EST-04</x:v>
      </x:c>
      <x:c r="B9" s="125" t="str">
        <x:v>Cost estimating</x:v>
      </x:c>
      <x:c r="C9" s="125" t="str">
        <x:v>Setup cost</x:v>
      </x:c>
      <x:c r="D9" s="125" t="str">
        <x:v>Model fixed or batch-related setup effort and cost.</x:v>
      </x:c>
      <x:c r="E9" s="343" t="n">
        <x:f>'Decision tool'!$D8</x:f>
        <x:v>0</x:v>
      </x:c>
      <x:c r="F9" s="344"/>
      <x:c r="G9" s="344"/>
      <x:c r="H9" s="343" t="str">
        <x:f>IF($E9="","",IF($E9="Not required","No gap",IF($F9="","",IF($F9="Covered","No gap",IF($B9="Cost estimating","Calculation gap",IF($B9="Product configuration","Configuration gap",IF($B9="Commercial quoting","Governance gap","Integration gap")))))))</x:f>
      </x:c>
      <x:c r="I9" s="343" t="str">
        <x:f>IF($A9="","","Manufacturing estimating software")</x:f>
        <x:v>Manufacturing estimating software</x:v>
      </x:c>
      <x:c r="J9" s="125" t="str">
        <x:v>ERP/MRP or MES</x:v>
      </x:c>
      <x:c r="K9" s="125" t="str">
        <x:v>Operations / Estimating</x:v>
      </x:c>
      <x:c r="L9" s="125" t="str">
        <x:v>Manufacturing systems</x:v>
      </x:c>
      <x:c r="M9" s="344"/>
      <x:c r="N9" s="345"/>
      <x:c r="O9" s="346"/>
    </x:row>
    <x:row r="10" ht="50" customHeight="1">
      <x:c r="A10" s="352" t="str">
        <x:v>EST-05</x:v>
      </x:c>
      <x:c r="B10" s="125" t="str">
        <x:v>Cost estimating</x:v>
      </x:c>
      <x:c r="C10" s="125" t="str">
        <x:v>Tooling</x:v>
      </x:c>
      <x:c r="D10" s="125" t="str">
        <x:v>Include tooling cost, amortisation or one-time tooling charges.</x:v>
      </x:c>
      <x:c r="E10" s="343" t="n">
        <x:f>'Decision tool'!$D8</x:f>
        <x:v>0</x:v>
      </x:c>
      <x:c r="F10" s="344"/>
      <x:c r="G10" s="344"/>
      <x:c r="H10" s="343" t="str">
        <x:f>IF($E10="","",IF($E10="Not required","No gap",IF($F10="","",IF($F10="Covered","No gap",IF($B10="Cost estimating","Calculation gap",IF($B10="Product configuration","Configuration gap",IF($B10="Commercial quoting","Governance gap","Integration gap")))))))</x:f>
      </x:c>
      <x:c r="I10" s="343" t="str">
        <x:f>IF($A10="","","Manufacturing estimating software")</x:f>
        <x:v>Manufacturing estimating software</x:v>
      </x:c>
      <x:c r="J10" s="125" t="str">
        <x:v>ERP/MRP</x:v>
      </x:c>
      <x:c r="K10" s="125" t="str">
        <x:v>Engineering / Estimating</x:v>
      </x:c>
      <x:c r="L10" s="125" t="str">
        <x:v>Engineering systems</x:v>
      </x:c>
      <x:c r="M10" s="344"/>
      <x:c r="N10" s="345"/>
      <x:c r="O10" s="346"/>
    </x:row>
    <x:row r="11" ht="50" customHeight="1">
      <x:c r="A11" s="352" t="str">
        <x:v>EST-06</x:v>
      </x:c>
      <x:c r="B11" s="125" t="str">
        <x:v>Cost estimating</x:v>
      </x:c>
      <x:c r="C11" s="125" t="str">
        <x:v>Subcontracting</x:v>
      </x:c>
      <x:c r="D11" s="125" t="str">
        <x:v>Include supplier or subcontracted-process cost.</x:v>
      </x:c>
      <x:c r="E11" s="343" t="n">
        <x:f>'Decision tool'!$D8</x:f>
        <x:v>0</x:v>
      </x:c>
      <x:c r="F11" s="344"/>
      <x:c r="G11" s="344"/>
      <x:c r="H11" s="343" t="str">
        <x:f>IF($E11="","",IF($E11="Not required","No gap",IF($F11="","",IF($F11="Covered","No gap",IF($B11="Cost estimating","Calculation gap",IF($B11="Product configuration","Configuration gap",IF($B11="Commercial quoting","Governance gap","Integration gap")))))))</x:f>
      </x:c>
      <x:c r="I11" s="343" t="str">
        <x:f>IF($A11="","","Manufacturing estimating software")</x:f>
        <x:v>Manufacturing estimating software</x:v>
      </x:c>
      <x:c r="J11" s="125" t="str">
        <x:v>ERP/MRP or Procurement</x:v>
      </x:c>
      <x:c r="K11" s="125" t="str">
        <x:v>Procurement / Estimating</x:v>
      </x:c>
      <x:c r="L11" s="125" t="str">
        <x:v>Enterprise applications</x:v>
      </x:c>
      <x:c r="M11" s="344"/>
      <x:c r="N11" s="345"/>
      <x:c r="O11" s="346"/>
    </x:row>
    <x:row r="12" ht="50" customHeight="1">
      <x:c r="A12" s="352" t="str">
        <x:v>EST-07</x:v>
      </x:c>
      <x:c r="B12" s="125" t="str">
        <x:v>Cost estimating</x:v>
      </x:c>
      <x:c r="C12" s="125" t="str">
        <x:v>Overhead allocation</x:v>
      </x:c>
      <x:c r="D12" s="125" t="str">
        <x:v>Apply selected overhead logic to the estimate.</x:v>
      </x:c>
      <x:c r="E12" s="343" t="n">
        <x:f>'Decision tool'!$D8</x:f>
        <x:v>0</x:v>
      </x:c>
      <x:c r="F12" s="344"/>
      <x:c r="G12" s="344"/>
      <x:c r="H12" s="343" t="str">
        <x:f>IF($E12="","",IF($E12="Not required","No gap",IF($F12="","",IF($F12="Covered","No gap",IF($B12="Cost estimating","Calculation gap",IF($B12="Product configuration","Configuration gap",IF($B12="Commercial quoting","Governance gap","Integration gap")))))))</x:f>
      </x:c>
      <x:c r="I12" s="343" t="str">
        <x:f>IF($A12="","","Manufacturing estimating software")</x:f>
        <x:v>Manufacturing estimating software</x:v>
      </x:c>
      <x:c r="J12" s="125" t="str">
        <x:v>Finance / ERP</x:v>
      </x:c>
      <x:c r="K12" s="125" t="str">
        <x:v>Finance / Estimating</x:v>
      </x:c>
      <x:c r="L12" s="125" t="str">
        <x:v>Enterprise applications</x:v>
      </x:c>
      <x:c r="M12" s="344"/>
      <x:c r="N12" s="345"/>
      <x:c r="O12" s="346"/>
    </x:row>
    <x:row r="13" ht="50" customHeight="1">
      <x:c r="A13" s="352" t="str">
        <x:v>EST-08</x:v>
      </x:c>
      <x:c r="B13" s="125" t="str">
        <x:v>Cost estimating</x:v>
      </x:c>
      <x:c r="C13" s="125" t="str">
        <x:v>Scrap and yield</x:v>
      </x:c>
      <x:c r="D13" s="125" t="str">
        <x:v>Model expected scrap, yield loss or material efficiency.</x:v>
      </x:c>
      <x:c r="E13" s="343" t="n">
        <x:f>'Decision tool'!$D9</x:f>
        <x:v>0</x:v>
      </x:c>
      <x:c r="F13" s="344"/>
      <x:c r="G13" s="344"/>
      <x:c r="H13" s="343" t="str">
        <x:f>IF($E13="","",IF($E13="Not required","No gap",IF($F13="","",IF($F13="Covered","No gap",IF($B13="Cost estimating","Calculation gap",IF($B13="Product configuration","Configuration gap",IF($B13="Commercial quoting","Governance gap","Integration gap")))))))</x:f>
      </x:c>
      <x:c r="I13" s="343" t="str">
        <x:f>IF($A13="","","Manufacturing estimating software")</x:f>
        <x:v>Manufacturing estimating software</x:v>
      </x:c>
      <x:c r="J13" s="125" t="str">
        <x:v>MES or ERP/MRP</x:v>
      </x:c>
      <x:c r="K13" s="125" t="str">
        <x:v>Operations / Quality</x:v>
      </x:c>
      <x:c r="L13" s="125" t="str">
        <x:v>Manufacturing systems</x:v>
      </x:c>
      <x:c r="M13" s="344"/>
      <x:c r="N13" s="345"/>
      <x:c r="O13" s="346"/>
    </x:row>
    <x:row r="14" ht="50" customHeight="1">
      <x:c r="A14" s="352" t="str">
        <x:v>EST-09</x:v>
      </x:c>
      <x:c r="B14" s="125" t="str">
        <x:v>Cost estimating</x:v>
      </x:c>
      <x:c r="C14" s="125" t="str">
        <x:v>Routings</x:v>
      </x:c>
      <x:c r="D14" s="125" t="str">
        <x:v>Use operation sequences and work centres in the estimate.</x:v>
      </x:c>
      <x:c r="E14" s="343" t="n">
        <x:f>'Decision tool'!$D9</x:f>
        <x:v>0</x:v>
      </x:c>
      <x:c r="F14" s="344"/>
      <x:c r="G14" s="344"/>
      <x:c r="H14" s="343" t="str">
        <x:f>IF($E14="","",IF($E14="Not required","No gap",IF($F14="","",IF($F14="Covered","No gap",IF($B14="Cost estimating","Calculation gap",IF($B14="Product configuration","Configuration gap",IF($B14="Commercial quoting","Governance gap","Integration gap")))))))</x:f>
      </x:c>
      <x:c r="I14" s="343" t="str">
        <x:f>IF($A14="","","Manufacturing estimating software")</x:f>
        <x:v>Manufacturing estimating software</x:v>
      </x:c>
      <x:c r="J14" s="125" t="str">
        <x:v>ERP/MRP or MES</x:v>
      </x:c>
      <x:c r="K14" s="125" t="str">
        <x:v>Operations / Engineering</x:v>
      </x:c>
      <x:c r="L14" s="125" t="str">
        <x:v>Manufacturing systems</x:v>
      </x:c>
      <x:c r="M14" s="344"/>
      <x:c r="N14" s="345"/>
      <x:c r="O14" s="346"/>
    </x:row>
    <x:row r="15" ht="50" customHeight="1">
      <x:c r="A15" s="352" t="str">
        <x:v>EST-10</x:v>
      </x:c>
      <x:c r="B15" s="125" t="str">
        <x:v>Cost estimating</x:v>
      </x:c>
      <x:c r="C15" s="125" t="str">
        <x:v>Cycle time</x:v>
      </x:c>
      <x:c r="D15" s="125" t="str">
        <x:v>Use operation or machine-cycle assumptions.</x:v>
      </x:c>
      <x:c r="E15" s="343" t="n">
        <x:f>'Decision tool'!$D9</x:f>
        <x:v>0</x:v>
      </x:c>
      <x:c r="F15" s="344"/>
      <x:c r="G15" s="344"/>
      <x:c r="H15" s="343" t="str">
        <x:f>IF($E15="","",IF($E15="Not required","No gap",IF($F15="","",IF($F15="Covered","No gap",IF($B15="Cost estimating","Calculation gap",IF($B15="Product configuration","Configuration gap",IF($B15="Commercial quoting","Governance gap","Integration gap")))))))</x:f>
      </x:c>
      <x:c r="I15" s="343" t="str">
        <x:f>IF($A15="","","Manufacturing estimating software")</x:f>
        <x:v>Manufacturing estimating software</x:v>
      </x:c>
      <x:c r="J15" s="125" t="str">
        <x:v>MES or ERP/MRP</x:v>
      </x:c>
      <x:c r="K15" s="125" t="str">
        <x:v>Operations / Engineering</x:v>
      </x:c>
      <x:c r="L15" s="125" t="str">
        <x:v>Manufacturing systems</x:v>
      </x:c>
      <x:c r="M15" s="344"/>
      <x:c r="N15" s="345"/>
      <x:c r="O15" s="346"/>
    </x:row>
    <x:row r="16" ht="50" customHeight="1">
      <x:c r="A16" s="352" t="str">
        <x:v>EST-11</x:v>
      </x:c>
      <x:c r="B16" s="125" t="str">
        <x:v>Cost estimating</x:v>
      </x:c>
      <x:c r="C16" s="125" t="str">
        <x:v>Batch or lot size</x:v>
      </x:c>
      <x:c r="D16" s="125" t="str">
        <x:v>Model quantity-dependent setup, run and material effects.</x:v>
      </x:c>
      <x:c r="E16" s="343" t="n">
        <x:f>'Decision tool'!$D9</x:f>
        <x:v>0</x:v>
      </x:c>
      <x:c r="F16" s="344"/>
      <x:c r="G16" s="344"/>
      <x:c r="H16" s="343" t="str">
        <x:f>IF($E16="","",IF($E16="Not required","No gap",IF($F16="","",IF($F16="Covered","No gap",IF($B16="Cost estimating","Calculation gap",IF($B16="Product configuration","Configuration gap",IF($B16="Commercial quoting","Governance gap","Integration gap")))))))</x:f>
      </x:c>
      <x:c r="I16" s="343" t="str">
        <x:f>IF($A16="","","Manufacturing estimating software")</x:f>
        <x:v>Manufacturing estimating software</x:v>
      </x:c>
      <x:c r="J16" s="125" t="str">
        <x:v>ERP/MRP</x:v>
      </x:c>
      <x:c r="K16" s="125" t="str">
        <x:v>Operations / Estimating</x:v>
      </x:c>
      <x:c r="L16" s="125" t="str">
        <x:v>Enterprise applications</x:v>
      </x:c>
      <x:c r="M16" s="344"/>
      <x:c r="N16" s="345"/>
      <x:c r="O16" s="346"/>
    </x:row>
    <x:row r="17" ht="50" customHeight="1">
      <x:c r="A17" s="352" t="str">
        <x:v>EST-12</x:v>
      </x:c>
      <x:c r="B17" s="125" t="str">
        <x:v>Cost estimating</x:v>
      </x:c>
      <x:c r="C17" s="125" t="str">
        <x:v>Estimate revisions</x:v>
      </x:c>
      <x:c r="D17" s="125" t="str">
        <x:v>Maintain successive versions and change rationale.</x:v>
      </x:c>
      <x:c r="E17" s="343" t="n">
        <x:f>'Decision tool'!$D10</x:f>
        <x:v>0</x:v>
      </x:c>
      <x:c r="F17" s="344"/>
      <x:c r="G17" s="344"/>
      <x:c r="H17" s="343" t="str">
        <x:f>IF($E17="","",IF($E17="Not required","No gap",IF($F17="","",IF($F17="Covered","No gap",IF($B17="Cost estimating","Calculation gap",IF($B17="Product configuration","Configuration gap",IF($B17="Commercial quoting","Governance gap","Integration gap")))))))</x:f>
      </x:c>
      <x:c r="I17" s="343" t="str">
        <x:f>IF($A17="","","Manufacturing estimating software")</x:f>
        <x:v>Manufacturing estimating software</x:v>
      </x:c>
      <x:c r="J17" s="125" t="str">
        <x:v>ERP/MRP or document control</x:v>
      </x:c>
      <x:c r="K17" s="125" t="str">
        <x:v>Estimating</x:v>
      </x:c>
      <x:c r="L17" s="125" t="str">
        <x:v>Enterprise applications</x:v>
      </x:c>
      <x:c r="M17" s="344"/>
      <x:c r="N17" s="345"/>
      <x:c r="O17" s="346"/>
    </x:row>
    <x:row r="18" ht="50" customHeight="1">
      <x:c r="A18" s="352" t="str">
        <x:v>EST-13</x:v>
      </x:c>
      <x:c r="B18" s="125" t="str">
        <x:v>Cost estimating</x:v>
      </x:c>
      <x:c r="C18" s="125" t="str">
        <x:v>Alternative-process comparison</x:v>
      </x:c>
      <x:c r="D18" s="125" t="str">
        <x:v>Compare materials, routes or production methods.</x:v>
      </x:c>
      <x:c r="E18" s="343" t="n">
        <x:f>'Decision tool'!$D10</x:f>
        <x:v>0</x:v>
      </x:c>
      <x:c r="F18" s="344"/>
      <x:c r="G18" s="344"/>
      <x:c r="H18" s="343" t="str">
        <x:f>IF($E18="","",IF($E18="Not required","No gap",IF($F18="","",IF($F18="Covered","No gap",IF($B18="Cost estimating","Calculation gap",IF($B18="Product configuration","Configuration gap",IF($B18="Commercial quoting","Governance gap","Integration gap")))))))</x:f>
      </x:c>
      <x:c r="I18" s="343" t="str">
        <x:f>IF($A18="","","Manufacturing estimating software")</x:f>
        <x:v>Manufacturing estimating software</x:v>
      </x:c>
      <x:c r="J18" s="125" t="str">
        <x:v>CAD/PLM or ERP/MRP</x:v>
      </x:c>
      <x:c r="K18" s="125" t="str">
        <x:v>Engineering / Estimating</x:v>
      </x:c>
      <x:c r="L18" s="125" t="str">
        <x:v>Engineering systems</x:v>
      </x:c>
      <x:c r="M18" s="344"/>
      <x:c r="N18" s="345"/>
      <x:c r="O18" s="346"/>
    </x:row>
    <x:row r="19" ht="50" customHeight="1">
      <x:c r="A19" s="352" t="str">
        <x:v>EST-14</x:v>
      </x:c>
      <x:c r="B19" s="125" t="str">
        <x:v>Cost estimating</x:v>
      </x:c>
      <x:c r="C19" s="125" t="str">
        <x:v>Estimated-versus-actual variance</x:v>
      </x:c>
      <x:c r="D19" s="125" t="str">
        <x:v>Compare estimated manufacturing cost with realised cost.</x:v>
      </x:c>
      <x:c r="E19" s="343" t="n">
        <x:f>'Decision tool'!$D11</x:f>
        <x:v>0</x:v>
      </x:c>
      <x:c r="F19" s="344"/>
      <x:c r="G19" s="344"/>
      <x:c r="H19" s="343" t="str">
        <x:f>IF($E19="","",IF($E19="Not required","No gap",IF($F19="","",IF($F19="Covered","No gap",IF($B19="Cost estimating","Calculation gap",IF($B19="Product configuration","Configuration gap",IF($B19="Commercial quoting","Governance gap","Integration gap")))))))</x:f>
      </x:c>
      <x:c r="I19" s="343" t="str">
        <x:f>IF($A19="","","Manufacturing estimating software")</x:f>
        <x:v>Manufacturing estimating software</x:v>
      </x:c>
      <x:c r="J19" s="125" t="str">
        <x:v>ERP/MRP and MES</x:v>
      </x:c>
      <x:c r="K19" s="125" t="str">
        <x:v>Finance / Operations</x:v>
      </x:c>
      <x:c r="L19" s="125" t="str">
        <x:v>Data / Analytics</x:v>
      </x:c>
      <x:c r="M19" s="344"/>
      <x:c r="N19" s="345"/>
      <x:c r="O19" s="346"/>
    </x:row>
    <x:row r="20" ht="50" customHeight="1">
      <x:c r="A20" s="352" t="str">
        <x:v>CFG-01</x:v>
      </x:c>
      <x:c r="B20" s="125" t="str">
        <x:v>Product configuration</x:v>
      </x:c>
      <x:c r="C20" s="125" t="str">
        <x:v>Product options</x:v>
      </x:c>
      <x:c r="D20" s="125" t="str">
        <x:v>Define selectable product or project options.</x:v>
      </x:c>
      <x:c r="E20" s="343" t="n">
        <x:f>'Decision tool'!$D15</x:f>
        <x:v>0</x:v>
      </x:c>
      <x:c r="F20" s="344"/>
      <x:c r="G20" s="344"/>
      <x:c r="H20" s="343" t="str">
        <x:f>IF($E20="","",IF($E20="Not required","No gap",IF($F20="","",IF($F20="Covered","No gap",IF($B20="Cost estimating","Calculation gap",IF($B20="Product configuration","Configuration gap",IF($B20="Commercial quoting","Governance gap","Integration gap")))))))</x:f>
      </x:c>
      <x:c r="I20" s="343" t="str">
        <x:f>IF($A20="","","CPQ/product configurator")</x:f>
        <x:v>CPQ/product configurator</x:v>
      </x:c>
      <x:c r="J20" s="125" t="str">
        <x:v>CAD/PLM or product master</x:v>
      </x:c>
      <x:c r="K20" s="125" t="str">
        <x:v>Product management / Engineering</x:v>
      </x:c>
      <x:c r="L20" s="125" t="str">
        <x:v>Engineering systems</x:v>
      </x:c>
      <x:c r="M20" s="344"/>
      <x:c r="N20" s="345"/>
      <x:c r="O20" s="346"/>
    </x:row>
    <x:row r="21" ht="50" customHeight="1">
      <x:c r="A21" s="352" t="str">
        <x:v>CFG-02</x:v>
      </x:c>
      <x:c r="B21" s="125" t="str">
        <x:v>Product configuration</x:v>
      </x:c>
      <x:c r="C21" s="125" t="str">
        <x:v>Option dependencies</x:v>
      </x:c>
      <x:c r="D21" s="125" t="str">
        <x:v>Enforce dependencies between selected options.</x:v>
      </x:c>
      <x:c r="E21" s="343" t="n">
        <x:f>'Decision tool'!$D15</x:f>
        <x:v>0</x:v>
      </x:c>
      <x:c r="F21" s="344"/>
      <x:c r="G21" s="344"/>
      <x:c r="H21" s="343" t="str">
        <x:f>IF($E21="","",IF($E21="Not required","No gap",IF($F21="","",IF($F21="Covered","No gap",IF($B21="Cost estimating","Calculation gap",IF($B21="Product configuration","Configuration gap",IF($B21="Commercial quoting","Governance gap","Integration gap")))))))</x:f>
      </x:c>
      <x:c r="I21" s="343" t="str">
        <x:f>IF($A21="","","CPQ/product configurator")</x:f>
        <x:v>CPQ/product configurator</x:v>
      </x:c>
      <x:c r="J21" s="125" t="str">
        <x:v>CAD/PLM or configurator</x:v>
      </x:c>
      <x:c r="K21" s="125" t="str">
        <x:v>Engineering</x:v>
      </x:c>
      <x:c r="L21" s="125" t="str">
        <x:v>Engineering systems</x:v>
      </x:c>
      <x:c r="M21" s="344"/>
      <x:c r="N21" s="345"/>
      <x:c r="O21" s="346"/>
    </x:row>
    <x:row r="22" ht="50" customHeight="1">
      <x:c r="A22" s="352" t="str">
        <x:v>CFG-03</x:v>
      </x:c>
      <x:c r="B22" s="125" t="str">
        <x:v>Product configuration</x:v>
      </x:c>
      <x:c r="C22" s="125" t="str">
        <x:v>Compatibility rules</x:v>
      </x:c>
      <x:c r="D22" s="125" t="str">
        <x:v>Prevent technically incompatible combinations.</x:v>
      </x:c>
      <x:c r="E22" s="343" t="n">
        <x:f>'Decision tool'!$D15</x:f>
        <x:v>0</x:v>
      </x:c>
      <x:c r="F22" s="344"/>
      <x:c r="G22" s="344"/>
      <x:c r="H22" s="343" t="str">
        <x:f>IF($E22="","",IF($E22="Not required","No gap",IF($F22="","",IF($F22="Covered","No gap",IF($B22="Cost estimating","Calculation gap",IF($B22="Product configuration","Configuration gap",IF($B22="Commercial quoting","Governance gap","Integration gap")))))))</x:f>
      </x:c>
      <x:c r="I22" s="343" t="str">
        <x:f>IF($A22="","","CPQ/product configurator")</x:f>
        <x:v>CPQ/product configurator</x:v>
      </x:c>
      <x:c r="J22" s="125" t="str">
        <x:v>CAD/PLM or configurator</x:v>
      </x:c>
      <x:c r="K22" s="125" t="str">
        <x:v>Engineering</x:v>
      </x:c>
      <x:c r="L22" s="125" t="str">
        <x:v>Engineering systems</x:v>
      </x:c>
      <x:c r="M22" s="344"/>
      <x:c r="N22" s="345"/>
      <x:c r="O22" s="346"/>
    </x:row>
    <x:row r="23" ht="50" customHeight="1">
      <x:c r="A23" s="352" t="str">
        <x:v>CFG-04</x:v>
      </x:c>
      <x:c r="B23" s="125" t="str">
        <x:v>Product configuration</x:v>
      </x:c>
      <x:c r="C23" s="125" t="str">
        <x:v>Guided selection</x:v>
      </x:c>
      <x:c r="D23" s="125" t="str">
        <x:v>Guide sales or engineering through required choices.</x:v>
      </x:c>
      <x:c r="E23" s="343" t="n">
        <x:f>'Decision tool'!$D17</x:f>
        <x:v>0</x:v>
      </x:c>
      <x:c r="F23" s="344"/>
      <x:c r="G23" s="344"/>
      <x:c r="H23" s="343" t="str">
        <x:f>IF($E23="","",IF($E23="Not required","No gap",IF($F23="","",IF($F23="Covered","No gap",IF($B23="Cost estimating","Calculation gap",IF($B23="Product configuration","Configuration gap",IF($B23="Commercial quoting","Governance gap","Integration gap")))))))</x:f>
      </x:c>
      <x:c r="I23" s="343" t="str">
        <x:f>IF($A23="","","CPQ/product configurator")</x:f>
        <x:v>CPQ/product configurator</x:v>
      </x:c>
      <x:c r="J23" s="125" t="str">
        <x:v>CRM or configurator</x:v>
      </x:c>
      <x:c r="K23" s="125" t="str">
        <x:v>Sales engineering</x:v>
      </x:c>
      <x:c r="L23" s="125" t="str">
        <x:v>Enterprise applications</x:v>
      </x:c>
      <x:c r="M23" s="344"/>
      <x:c r="N23" s="345"/>
      <x:c r="O23" s="346"/>
    </x:row>
    <x:row r="24" ht="50" customHeight="1">
      <x:c r="A24" s="352" t="str">
        <x:v>CFG-05</x:v>
      </x:c>
      <x:c r="B24" s="125" t="str">
        <x:v>Product configuration</x:v>
      </x:c>
      <x:c r="C24" s="125" t="str">
        <x:v>Configure-to-order</x:v>
      </x:c>
      <x:c r="D24" s="125" t="str">
        <x:v>Support configurable standard products.</x:v>
      </x:c>
      <x:c r="E24" s="343" t="n">
        <x:f>'Decision tool'!$D17</x:f>
        <x:v>0</x:v>
      </x:c>
      <x:c r="F24" s="344"/>
      <x:c r="G24" s="344"/>
      <x:c r="H24" s="343" t="str">
        <x:f>IF($E24="","",IF($E24="Not required","No gap",IF($F24="","",IF($F24="Covered","No gap",IF($B24="Cost estimating","Calculation gap",IF($B24="Product configuration","Configuration gap",IF($B24="Commercial quoting","Governance gap","Integration gap")))))))</x:f>
      </x:c>
      <x:c r="I24" s="343" t="str">
        <x:f>IF($A24="","","CPQ/product configurator")</x:f>
        <x:v>CPQ/product configurator</x:v>
      </x:c>
      <x:c r="J24" s="125" t="str">
        <x:v>ERP/MRP and configurator</x:v>
      </x:c>
      <x:c r="K24" s="125" t="str">
        <x:v>Product management / Sales</x:v>
      </x:c>
      <x:c r="L24" s="125" t="str">
        <x:v>Enterprise applications</x:v>
      </x:c>
      <x:c r="M24" s="344"/>
      <x:c r="N24" s="345"/>
      <x:c r="O24" s="346"/>
    </x:row>
    <x:row r="25" ht="50" customHeight="1">
      <x:c r="A25" s="352" t="str">
        <x:v>CFG-06</x:v>
      </x:c>
      <x:c r="B25" s="125" t="str">
        <x:v>Product configuration</x:v>
      </x:c>
      <x:c r="C25" s="125" t="str">
        <x:v>Engineer-to-order</x:v>
      </x:c>
      <x:c r="D25" s="125" t="str">
        <x:v>Support quote-specific engineered solutions.</x:v>
      </x:c>
      <x:c r="E25" s="343" t="n">
        <x:f>'Decision tool'!$D17</x:f>
        <x:v>0</x:v>
      </x:c>
      <x:c r="F25" s="344"/>
      <x:c r="G25" s="344"/>
      <x:c r="H25" s="343" t="str">
        <x:f>IF($E25="","",IF($E25="Not required","No gap",IF($F25="","",IF($F25="Covered","No gap",IF($B25="Cost estimating","Calculation gap",IF($B25="Product configuration","Configuration gap",IF($B25="Commercial quoting","Governance gap","Integration gap")))))))</x:f>
      </x:c>
      <x:c r="I25" s="343" t="str">
        <x:f>IF($A25="","","CPQ/product configurator")</x:f>
        <x:v>CPQ/product configurator</x:v>
      </x:c>
      <x:c r="J25" s="125" t="str">
        <x:v>CAD/PLM and configurator</x:v>
      </x:c>
      <x:c r="K25" s="125" t="str">
        <x:v>Engineering / Sales engineering</x:v>
      </x:c>
      <x:c r="L25" s="125" t="str">
        <x:v>Engineering systems</x:v>
      </x:c>
      <x:c r="M25" s="344"/>
      <x:c r="N25" s="345"/>
      <x:c r="O25" s="346"/>
    </x:row>
    <x:row r="26" ht="50" customHeight="1">
      <x:c r="A26" s="352" t="str">
        <x:v>CFG-07</x:v>
      </x:c>
      <x:c r="B26" s="125" t="str">
        <x:v>Product configuration</x:v>
      </x:c>
      <x:c r="C26" s="125" t="str">
        <x:v>CAD integration</x:v>
      </x:c>
      <x:c r="D26" s="125" t="str">
        <x:v>Exchange technical inputs or generated geometry with CAD.</x:v>
      </x:c>
      <x:c r="E26" s="343" t="n">
        <x:f>'Decision tool'!$D16</x:f>
        <x:v>0</x:v>
      </x:c>
      <x:c r="F26" s="344"/>
      <x:c r="G26" s="344"/>
      <x:c r="H26" s="343" t="str">
        <x:f>IF($E26="","",IF($E26="Not required","No gap",IF($F26="","",IF($F26="Covered","No gap",IF($B26="Cost estimating","Calculation gap",IF($B26="Product configuration","Configuration gap",IF($B26="Commercial quoting","Governance gap","Integration gap")))))))</x:f>
      </x:c>
      <x:c r="I26" s="343" t="str">
        <x:f>IF($A26="","","CPQ/product configurator")</x:f>
        <x:v>CPQ/product configurator</x:v>
      </x:c>
      <x:c r="J26" s="125" t="str">
        <x:v>CAD</x:v>
      </x:c>
      <x:c r="K26" s="125" t="str">
        <x:v>Engineering</x:v>
      </x:c>
      <x:c r="L26" s="125" t="str">
        <x:v>Engineering systems</x:v>
      </x:c>
      <x:c r="M26" s="344"/>
      <x:c r="N26" s="345"/>
      <x:c r="O26" s="346"/>
    </x:row>
    <x:row r="27" ht="50" customHeight="1">
      <x:c r="A27" s="352" t="str">
        <x:v>CFG-08</x:v>
      </x:c>
      <x:c r="B27" s="125" t="str">
        <x:v>Product configuration</x:v>
      </x:c>
      <x:c r="C27" s="125" t="str">
        <x:v>BOM generation or validation</x:v>
      </x:c>
      <x:c r="D27" s="125" t="str">
        <x:v>Generate or validate the configured BOM.</x:v>
      </x:c>
      <x:c r="E27" s="343" t="n">
        <x:f>'Decision tool'!$D16</x:f>
        <x:v>0</x:v>
      </x:c>
      <x:c r="F27" s="344"/>
      <x:c r="G27" s="344"/>
      <x:c r="H27" s="343" t="str">
        <x:f>IF($E27="","",IF($E27="Not required","No gap",IF($F27="","",IF($F27="Covered","No gap",IF($B27="Cost estimating","Calculation gap",IF($B27="Product configuration","Configuration gap",IF($B27="Commercial quoting","Governance gap","Integration gap")))))))</x:f>
      </x:c>
      <x:c r="I27" s="343" t="str">
        <x:f>IF($A27="","","CPQ/product configurator")</x:f>
        <x:v>CPQ/product configurator</x:v>
      </x:c>
      <x:c r="J27" s="125" t="str">
        <x:v>CAD/PLM or ERP/MRP</x:v>
      </x:c>
      <x:c r="K27" s="125" t="str">
        <x:v>Engineering</x:v>
      </x:c>
      <x:c r="L27" s="125" t="str">
        <x:v>Engineering systems</x:v>
      </x:c>
      <x:c r="M27" s="344"/>
      <x:c r="N27" s="345"/>
      <x:c r="O27" s="346"/>
    </x:row>
    <x:row r="28" ht="50" customHeight="1">
      <x:c r="A28" s="352" t="str">
        <x:v>CFG-09</x:v>
      </x:c>
      <x:c r="B28" s="125" t="str">
        <x:v>Product configuration</x:v>
      </x:c>
      <x:c r="C28" s="125" t="str">
        <x:v>Engineering constraints</x:v>
      </x:c>
      <x:c r="D28" s="125" t="str">
        <x:v>Use engineering formulas, constraints or rule logic.</x:v>
      </x:c>
      <x:c r="E28" s="343" t="n">
        <x:f>'Decision tool'!$D16</x:f>
        <x:v>0</x:v>
      </x:c>
      <x:c r="F28" s="344"/>
      <x:c r="G28" s="344"/>
      <x:c r="H28" s="343" t="str">
        <x:f>IF($E28="","",IF($E28="Not required","No gap",IF($F28="","",IF($F28="Covered","No gap",IF($B28="Cost estimating","Calculation gap",IF($B28="Product configuration","Configuration gap",IF($B28="Commercial quoting","Governance gap","Integration gap")))))))</x:f>
      </x:c>
      <x:c r="I28" s="343" t="str">
        <x:f>IF($A28="","","CPQ/product configurator")</x:f>
        <x:v>CPQ/product configurator</x:v>
      </x:c>
      <x:c r="J28" s="125" t="str">
        <x:v>CAD/PLM or configurator</x:v>
      </x:c>
      <x:c r="K28" s="125" t="str">
        <x:v>Engineering</x:v>
      </x:c>
      <x:c r="L28" s="125" t="str">
        <x:v>Engineering systems</x:v>
      </x:c>
      <x:c r="M28" s="344"/>
      <x:c r="N28" s="345"/>
      <x:c r="O28" s="346"/>
    </x:row>
    <x:row r="29" ht="50" customHeight="1">
      <x:c r="A29" s="352" t="str">
        <x:v>CFG-10</x:v>
      </x:c>
      <x:c r="B29" s="125" t="str">
        <x:v>Product configuration</x:v>
      </x:c>
      <x:c r="C29" s="125" t="str">
        <x:v>Configuration revisions</x:v>
      </x:c>
      <x:c r="D29" s="125" t="str">
        <x:v>Manage changes to the selected technical configuration.</x:v>
      </x:c>
      <x:c r="E29" s="343" t="n">
        <x:f>'Decision tool'!$D18</x:f>
        <x:v>0</x:v>
      </x:c>
      <x:c r="F29" s="344"/>
      <x:c r="G29" s="344"/>
      <x:c r="H29" s="343" t="str">
        <x:f>IF($E29="","",IF($E29="Not required","No gap",IF($F29="","",IF($F29="Covered","No gap",IF($B29="Cost estimating","Calculation gap",IF($B29="Product configuration","Configuration gap",IF($B29="Commercial quoting","Governance gap","Integration gap")))))))</x:f>
      </x:c>
      <x:c r="I29" s="343" t="str">
        <x:f>IF($A29="","","CPQ/product configurator")</x:f>
        <x:v>CPQ/product configurator</x:v>
      </x:c>
      <x:c r="J29" s="125" t="str">
        <x:v>CAD/PLM or configurator</x:v>
      </x:c>
      <x:c r="K29" s="125" t="str">
        <x:v>Engineering / Product management</x:v>
      </x:c>
      <x:c r="L29" s="125" t="str">
        <x:v>Engineering systems</x:v>
      </x:c>
      <x:c r="M29" s="344"/>
      <x:c r="N29" s="345"/>
      <x:c r="O29" s="346"/>
    </x:row>
    <x:row r="30" ht="50" customHeight="1">
      <x:c r="A30" s="352" t="str">
        <x:v>CFG-11</x:v>
      </x:c>
      <x:c r="B30" s="125" t="str">
        <x:v>Product configuration</x:v>
      </x:c>
      <x:c r="C30" s="125" t="str">
        <x:v>Technical validation</x:v>
      </x:c>
      <x:c r="D30" s="125" t="str">
        <x:v>Require technical validation before commercial release.</x:v>
      </x:c>
      <x:c r="E30" s="343" t="n">
        <x:f>'Decision tool'!$D18</x:f>
        <x:v>0</x:v>
      </x:c>
      <x:c r="F30" s="344"/>
      <x:c r="G30" s="344"/>
      <x:c r="H30" s="343" t="str">
        <x:f>IF($E30="","",IF($E30="Not required","No gap",IF($F30="","",IF($F30="Covered","No gap",IF($B30="Cost estimating","Calculation gap",IF($B30="Product configuration","Configuration gap",IF($B30="Commercial quoting","Governance gap","Integration gap")))))))</x:f>
      </x:c>
      <x:c r="I30" s="343" t="str">
        <x:f>IF($A30="","","CPQ/product configurator")</x:f>
        <x:v>CPQ/product configurator</x:v>
      </x:c>
      <x:c r="J30" s="125" t="str">
        <x:v>CAD/PLM or configurator</x:v>
      </x:c>
      <x:c r="K30" s="125" t="str">
        <x:v>Engineering</x:v>
      </x:c>
      <x:c r="L30" s="125" t="str">
        <x:v>Engineering systems</x:v>
      </x:c>
      <x:c r="M30" s="344"/>
      <x:c r="N30" s="345"/>
      <x:c r="O30" s="346"/>
    </x:row>
    <x:row r="31" ht="50" customHeight="1">
      <x:c r="A31" s="352" t="str">
        <x:v>QUO-01</x:v>
      </x:c>
      <x:c r="B31" s="125" t="str">
        <x:v>Commercial quoting</x:v>
      </x:c>
      <x:c r="C31" s="125" t="str">
        <x:v>Price lists</x:v>
      </x:c>
      <x:c r="D31" s="125" t="str">
        <x:v>Select and apply the relevant commercial price source.</x:v>
      </x:c>
      <x:c r="E31" s="343" t="n">
        <x:f>'Decision tool'!$D22</x:f>
        <x:v>0</x:v>
      </x:c>
      <x:c r="F31" s="344"/>
      <x:c r="G31" s="344"/>
      <x:c r="H31" s="343" t="str">
        <x:f>IF($E31="","",IF($E31="Not required","No gap",IF($F31="","",IF($F31="Covered","No gap",IF($B31="Cost estimating","Calculation gap",IF($B31="Product configuration","Configuration gap",IF($B31="Commercial quoting","Governance gap","Integration gap")))))))</x:f>
      </x:c>
      <x:c r="I31" s="343" t="str">
        <x:f>IF($A31="","","Manufacturing quoting software")</x:f>
        <x:v>Manufacturing quoting software</x:v>
      </x:c>
      <x:c r="J31" s="125" t="str">
        <x:v>ERP/MRP or pricing system</x:v>
      </x:c>
      <x:c r="K31" s="125" t="str">
        <x:v>Pricing / Sales operations</x:v>
      </x:c>
      <x:c r="L31" s="125" t="str">
        <x:v>Enterprise applications</x:v>
      </x:c>
      <x:c r="M31" s="344"/>
      <x:c r="N31" s="345"/>
      <x:c r="O31" s="346"/>
    </x:row>
    <x:row r="32" ht="50" customHeight="1">
      <x:c r="A32" s="352" t="str">
        <x:v>QUO-02</x:v>
      </x:c>
      <x:c r="B32" s="125" t="str">
        <x:v>Commercial quoting</x:v>
      </x:c>
      <x:c r="C32" s="125" t="str">
        <x:v>Customer-specific pricing</x:v>
      </x:c>
      <x:c r="D32" s="125" t="str">
        <x:v>Apply customer agreements, price conditions or negotiated terms.</x:v>
      </x:c>
      <x:c r="E32" s="343" t="n">
        <x:f>'Decision tool'!$D22</x:f>
        <x:v>0</x:v>
      </x:c>
      <x:c r="F32" s="344"/>
      <x:c r="G32" s="344"/>
      <x:c r="H32" s="343" t="str">
        <x:f>IF($E32="","",IF($E32="Not required","No gap",IF($F32="","",IF($F32="Covered","No gap",IF($B32="Cost estimating","Calculation gap",IF($B32="Product configuration","Configuration gap",IF($B32="Commercial quoting","Governance gap","Integration gap")))))))</x:f>
      </x:c>
      <x:c r="I32" s="343" t="str">
        <x:f>IF($A32="","","Manufacturing quoting software")</x:f>
        <x:v>Manufacturing quoting software</x:v>
      </x:c>
      <x:c r="J32" s="125" t="str">
        <x:v>CRM or ERP/MRP</x:v>
      </x:c>
      <x:c r="K32" s="125" t="str">
        <x:v>Pricing / Sales</x:v>
      </x:c>
      <x:c r="L32" s="125" t="str">
        <x:v>Enterprise applications</x:v>
      </x:c>
      <x:c r="M32" s="344"/>
      <x:c r="N32" s="345"/>
      <x:c r="O32" s="346"/>
    </x:row>
    <x:row r="33" ht="50" customHeight="1">
      <x:c r="A33" s="352" t="str">
        <x:v>QUO-03</x:v>
      </x:c>
      <x:c r="B33" s="125" t="str">
        <x:v>Commercial quoting</x:v>
      </x:c>
      <x:c r="C33" s="125" t="str">
        <x:v>Multi-currency pricing</x:v>
      </x:c>
      <x:c r="D33" s="125" t="str">
        <x:v>Convert or calculate quote values in the required currency.</x:v>
      </x:c>
      <x:c r="E33" s="343" t="n">
        <x:f>'Decision tool'!$D22</x:f>
        <x:v>0</x:v>
      </x:c>
      <x:c r="F33" s="344"/>
      <x:c r="G33" s="344"/>
      <x:c r="H33" s="343" t="str">
        <x:f>IF($E33="","",IF($E33="Not required","No gap",IF($F33="","",IF($F33="Covered","No gap",IF($B33="Cost estimating","Calculation gap",IF($B33="Product configuration","Configuration gap",IF($B33="Commercial quoting","Governance gap","Integration gap")))))))</x:f>
      </x:c>
      <x:c r="I33" s="343" t="str">
        <x:f>IF($A33="","","Manufacturing quoting software")</x:f>
        <x:v>Manufacturing quoting software</x:v>
      </x:c>
      <x:c r="J33" s="125" t="str">
        <x:v>ERP/MRP or finance system</x:v>
      </x:c>
      <x:c r="K33" s="125" t="str">
        <x:v>Finance / Pricing</x:v>
      </x:c>
      <x:c r="L33" s="125" t="str">
        <x:v>Enterprise applications</x:v>
      </x:c>
      <x:c r="M33" s="344"/>
      <x:c r="N33" s="345"/>
      <x:c r="O33" s="346"/>
    </x:row>
    <x:row r="34" ht="50" customHeight="1">
      <x:c r="A34" s="352" t="str">
        <x:v>QUO-04</x:v>
      </x:c>
      <x:c r="B34" s="125" t="str">
        <x:v>Commercial quoting</x:v>
      </x:c>
      <x:c r="C34" s="125" t="str">
        <x:v>Discount calculation</x:v>
      </x:c>
      <x:c r="D34" s="125" t="str">
        <x:v>Calculate and control discounts.</x:v>
      </x:c>
      <x:c r="E34" s="343" t="n">
        <x:f>'Decision tool'!$D22</x:f>
        <x:v>0</x:v>
      </x:c>
      <x:c r="F34" s="344"/>
      <x:c r="G34" s="344"/>
      <x:c r="H34" s="343" t="str">
        <x:f>IF($E34="","",IF($E34="Not required","No gap",IF($F34="","",IF($F34="Covered","No gap",IF($B34="Cost estimating","Calculation gap",IF($B34="Product configuration","Configuration gap",IF($B34="Commercial quoting","Governance gap","Integration gap")))))))</x:f>
      </x:c>
      <x:c r="I34" s="343" t="str">
        <x:f>IF($A34="","","Manufacturing quoting software")</x:f>
        <x:v>Manufacturing quoting software</x:v>
      </x:c>
      <x:c r="J34" s="125" t="str">
        <x:v>CRM or CPQ</x:v>
      </x:c>
      <x:c r="K34" s="125" t="str">
        <x:v>Pricing / Sales</x:v>
      </x:c>
      <x:c r="L34" s="125" t="str">
        <x:v>Enterprise applications</x:v>
      </x:c>
      <x:c r="M34" s="344"/>
      <x:c r="N34" s="345"/>
      <x:c r="O34" s="346"/>
    </x:row>
    <x:row r="35" ht="50" customHeight="1">
      <x:c r="A35" s="352" t="str">
        <x:v>QUO-05</x:v>
      </x:c>
      <x:c r="B35" s="125" t="str">
        <x:v>Commercial quoting</x:v>
      </x:c>
      <x:c r="C35" s="125" t="str">
        <x:v>Margin calculation</x:v>
      </x:c>
      <x:c r="D35" s="125" t="str">
        <x:v>Calculate margin from controlled price and cost inputs.</x:v>
      </x:c>
      <x:c r="E35" s="343" t="n">
        <x:f>'Decision tool'!$D22</x:f>
        <x:v>0</x:v>
      </x:c>
      <x:c r="F35" s="344"/>
      <x:c r="G35" s="344"/>
      <x:c r="H35" s="343" t="str">
        <x:f>IF($E35="","",IF($E35="Not required","No gap",IF($F35="","",IF($F35="Covered","No gap",IF($B35="Cost estimating","Calculation gap",IF($B35="Product configuration","Configuration gap",IF($B35="Commercial quoting","Governance gap","Integration gap")))))))</x:f>
      </x:c>
      <x:c r="I35" s="343" t="str">
        <x:f>IF($A35="","","Manufacturing quoting software")</x:f>
        <x:v>Manufacturing quoting software</x:v>
      </x:c>
      <x:c r="J35" s="125" t="str">
        <x:v>ERP/MRP and CPQ</x:v>
      </x:c>
      <x:c r="K35" s="125" t="str">
        <x:v>Pricing / Finance</x:v>
      </x:c>
      <x:c r="L35" s="125" t="str">
        <x:v>Enterprise applications</x:v>
      </x:c>
      <x:c r="M35" s="344"/>
      <x:c r="N35" s="345"/>
      <x:c r="O35" s="346"/>
    </x:row>
    <x:row r="36" ht="50" customHeight="1">
      <x:c r="A36" s="352" t="str">
        <x:v>QUO-06</x:v>
      </x:c>
      <x:c r="B36" s="125" t="str">
        <x:v>Commercial quoting</x:v>
      </x:c>
      <x:c r="C36" s="125" t="str">
        <x:v>Floor-price control</x:v>
      </x:c>
      <x:c r="D36" s="125" t="str">
        <x:v>Compare proposed price with the configured minimum commercial threshold.</x:v>
      </x:c>
      <x:c r="E36" s="343" t="n">
        <x:f>'Decision tool'!$D22</x:f>
        <x:v>0</x:v>
      </x:c>
      <x:c r="F36" s="344"/>
      <x:c r="G36" s="344"/>
      <x:c r="H36" s="343" t="str">
        <x:f>IF($E36="","",IF($E36="Not required","No gap",IF($F36="","",IF($F36="Covered","No gap",IF($B36="Cost estimating","Calculation gap",IF($B36="Product configuration","Configuration gap",IF($B36="Commercial quoting","Governance gap","Integration gap")))))))</x:f>
      </x:c>
      <x:c r="I36" s="343" t="str">
        <x:f>IF($A36="","","Manufacturing quoting software")</x:f>
        <x:v>Manufacturing quoting software</x:v>
      </x:c>
      <x:c r="J36" s="125" t="str">
        <x:v>Pricing or CPQ</x:v>
      </x:c>
      <x:c r="K36" s="125" t="str">
        <x:v>Pricing</x:v>
      </x:c>
      <x:c r="L36" s="125" t="str">
        <x:v>Enterprise applications</x:v>
      </x:c>
      <x:c r="M36" s="344"/>
      <x:c r="N36" s="345"/>
      <x:c r="O36" s="346"/>
    </x:row>
    <x:row r="37" ht="50" customHeight="1">
      <x:c r="A37" s="352" t="str">
        <x:v>QUO-07</x:v>
      </x:c>
      <x:c r="B37" s="125" t="str">
        <x:v>Commercial quoting</x:v>
      </x:c>
      <x:c r="C37" s="125" t="str">
        <x:v>Approval rules</x:v>
      </x:c>
      <x:c r="D37" s="125" t="str">
        <x:v>Trigger approval from configured commercial conditions.</x:v>
      </x:c>
      <x:c r="E37" s="343" t="n">
        <x:f>'Decision tool'!$D23</x:f>
        <x:v>0</x:v>
      </x:c>
      <x:c r="F37" s="344"/>
      <x:c r="G37" s="344"/>
      <x:c r="H37" s="343" t="str">
        <x:f>IF($E37="","",IF($E37="Not required","No gap",IF($F37="","",IF($F37="Covered","No gap",IF($B37="Cost estimating","Calculation gap",IF($B37="Product configuration","Configuration gap",IF($B37="Commercial quoting","Governance gap","Integration gap")))))))</x:f>
      </x:c>
      <x:c r="I37" s="343" t="str">
        <x:f>IF($A37="","","Manufacturing quoting software")</x:f>
        <x:v>Manufacturing quoting software</x:v>
      </x:c>
      <x:c r="J37" s="125" t="str">
        <x:v>CPQ or workflow system</x:v>
      </x:c>
      <x:c r="K37" s="125" t="str">
        <x:v>Pricing / Finance / Sales management</x:v>
      </x:c>
      <x:c r="L37" s="125" t="str">
        <x:v>Enterprise applications</x:v>
      </x:c>
      <x:c r="M37" s="344"/>
      <x:c r="N37" s="345"/>
      <x:c r="O37" s="346"/>
    </x:row>
    <x:row r="38" ht="50" customHeight="1">
      <x:c r="A38" s="352" t="str">
        <x:v>QUO-08</x:v>
      </x:c>
      <x:c r="B38" s="125" t="str">
        <x:v>Commercial quoting</x:v>
      </x:c>
      <x:c r="C38" s="125" t="str">
        <x:v>Approval matrix</x:v>
      </x:c>
      <x:c r="D38" s="125" t="str">
        <x:v>Route approval to the correct commercial role or group.</x:v>
      </x:c>
      <x:c r="E38" s="343" t="n">
        <x:f>'Decision tool'!$D23</x:f>
        <x:v>0</x:v>
      </x:c>
      <x:c r="F38" s="344"/>
      <x:c r="G38" s="344"/>
      <x:c r="H38" s="343" t="str">
        <x:f>IF($E38="","",IF($E38="Not required","No gap",IF($F38="","",IF($F38="Covered","No gap",IF($B38="Cost estimating","Calculation gap",IF($B38="Product configuration","Configuration gap",IF($B38="Commercial quoting","Governance gap","Integration gap")))))))</x:f>
      </x:c>
      <x:c r="I38" s="343" t="str">
        <x:f>IF($A38="","","Manufacturing quoting software")</x:f>
        <x:v>Manufacturing quoting software</x:v>
      </x:c>
      <x:c r="J38" s="125" t="str">
        <x:v>CPQ or workflow system</x:v>
      </x:c>
      <x:c r="K38" s="125" t="str">
        <x:v>Sales management / Finance</x:v>
      </x:c>
      <x:c r="L38" s="125" t="str">
        <x:v>Enterprise applications</x:v>
      </x:c>
      <x:c r="M38" s="344"/>
      <x:c r="N38" s="345"/>
      <x:c r="O38" s="346"/>
    </x:row>
    <x:row r="39" ht="50" customHeight="1">
      <x:c r="A39" s="352" t="str">
        <x:v>QUO-09</x:v>
      </x:c>
      <x:c r="B39" s="125" t="str">
        <x:v>Commercial quoting</x:v>
      </x:c>
      <x:c r="C39" s="125" t="str">
        <x:v>Quote validation</x:v>
      </x:c>
      <x:c r="D39" s="125" t="str">
        <x:v>Validate completeness and policy compliance before release.</x:v>
      </x:c>
      <x:c r="E39" s="343" t="n">
        <x:f>'Decision tool'!$D24</x:f>
        <x:v>0</x:v>
      </x:c>
      <x:c r="F39" s="344"/>
      <x:c r="G39" s="344"/>
      <x:c r="H39" s="343" t="str">
        <x:f>IF($E39="","",IF($E39="Not required","No gap",IF($F39="","",IF($F39="Covered","No gap",IF($B39="Cost estimating","Calculation gap",IF($B39="Product configuration","Configuration gap",IF($B39="Commercial quoting","Governance gap","Integration gap")))))))</x:f>
      </x:c>
      <x:c r="I39" s="343" t="str">
        <x:f>IF($A39="","","Manufacturing quoting software")</x:f>
        <x:v>Manufacturing quoting software</x:v>
      </x:c>
      <x:c r="J39" s="125" t="str">
        <x:v>CPQ or quoting system</x:v>
      </x:c>
      <x:c r="K39" s="125" t="str">
        <x:v>Sales operations / Pricing</x:v>
      </x:c>
      <x:c r="L39" s="125" t="str">
        <x:v>Enterprise applications</x:v>
      </x:c>
      <x:c r="M39" s="344"/>
      <x:c r="N39" s="345"/>
      <x:c r="O39" s="346"/>
    </x:row>
    <x:row r="40" ht="50" customHeight="1">
      <x:c r="A40" s="352" t="str">
        <x:v>QUO-10</x:v>
      </x:c>
      <x:c r="B40" s="125" t="str">
        <x:v>Commercial quoting</x:v>
      </x:c>
      <x:c r="C40" s="125" t="str">
        <x:v>Decision trace</x:v>
      </x:c>
      <x:c r="D40" s="125" t="str">
        <x:v>Preserve inputs, calculations, validations and approval decisions.</x:v>
      </x:c>
      <x:c r="E40" s="343" t="n">
        <x:f>'Decision tool'!$D24</x:f>
        <x:v>0</x:v>
      </x:c>
      <x:c r="F40" s="344"/>
      <x:c r="G40" s="344"/>
      <x:c r="H40" s="343" t="str">
        <x:f>IF($E40="","",IF($E40="Not required","No gap",IF($F40="","",IF($F40="Covered","No gap",IF($B40="Cost estimating","Calculation gap",IF($B40="Product configuration","Configuration gap",IF($B40="Commercial quoting","Governance gap","Integration gap")))))))</x:f>
      </x:c>
      <x:c r="I40" s="343" t="str">
        <x:f>IF($A40="","","Manufacturing quoting software")</x:f>
        <x:v>Manufacturing quoting software</x:v>
      </x:c>
      <x:c r="J40" s="125" t="str">
        <x:v>CPQ or audit log</x:v>
      </x:c>
      <x:c r="K40" s="125" t="str">
        <x:v>Pricing / Finance / Compliance</x:v>
      </x:c>
      <x:c r="L40" s="125" t="str">
        <x:v>Enterprise applications</x:v>
      </x:c>
      <x:c r="M40" s="344"/>
      <x:c r="N40" s="345"/>
      <x:c r="O40" s="346"/>
    </x:row>
    <x:row r="41" ht="50" customHeight="1">
      <x:c r="A41" s="352" t="str">
        <x:v>QUO-11</x:v>
      </x:c>
      <x:c r="B41" s="125" t="str">
        <x:v>Commercial quoting</x:v>
      </x:c>
      <x:c r="C41" s="125" t="str">
        <x:v>Customer-ready quote output</x:v>
      </x:c>
      <x:c r="D41" s="125" t="str">
        <x:v>Create approved customer-facing quote documents.</x:v>
      </x:c>
      <x:c r="E41" s="343" t="n">
        <x:f>'Decision tool'!$D25</x:f>
        <x:v>0</x:v>
      </x:c>
      <x:c r="F41" s="344"/>
      <x:c r="G41" s="344"/>
      <x:c r="H41" s="343" t="str">
        <x:f>IF($E41="","",IF($E41="Not required","No gap",IF($F41="","",IF($F41="Covered","No gap",IF($B41="Cost estimating","Calculation gap",IF($B41="Product configuration","Configuration gap",IF($B41="Commercial quoting","Governance gap","Integration gap")))))))</x:f>
      </x:c>
      <x:c r="I41" s="343" t="str">
        <x:f>IF($A41="","","Manufacturing quoting software")</x:f>
        <x:v>Manufacturing quoting software</x:v>
      </x:c>
      <x:c r="J41" s="125" t="str">
        <x:v>Document/proposal system</x:v>
      </x:c>
      <x:c r="K41" s="125" t="str">
        <x:v>Sales operations</x:v>
      </x:c>
      <x:c r="L41" s="125" t="str">
        <x:v>Enterprise applications</x:v>
      </x:c>
      <x:c r="M41" s="344"/>
      <x:c r="N41" s="345"/>
      <x:c r="O41" s="346"/>
    </x:row>
    <x:row r="42" ht="50" customHeight="1">
      <x:c r="A42" s="352" t="str">
        <x:v>ADJ-01</x:v>
      </x:c>
      <x:c r="B42" s="125" t="str">
        <x:v>Adjacent system</x:v>
      </x:c>
      <x:c r="C42" s="125" t="str">
        <x:v>Opportunity management</x:v>
      </x:c>
      <x:c r="D42" s="125" t="str">
        <x:v>Manage customer, opportunity and sales-pipeline context.</x:v>
      </x:c>
      <x:c r="E42" s="344"/>
      <x:c r="F42" s="344"/>
      <x:c r="G42" s="344"/>
      <x:c r="H42" s="343" t="str">
        <x:f>IF($E42="","",IF($E42="Not required","No gap",IF($F42="","",IF($F42="Covered","No gap",IF($B42="Cost estimating","Calculation gap",IF($B42="Product configuration","Configuration gap",IF($B42="Commercial quoting","Governance gap","Integration gap")))))))</x:f>
      </x:c>
      <x:c r="I42" s="343" t="str">
        <x:f>IF($A42="","","CRM")</x:f>
        <x:v>CRM</x:v>
      </x:c>
      <x:c r="J42" s="125" t="str">
        <x:v>CRM</x:v>
      </x:c>
      <x:c r="K42" s="125" t="str">
        <x:v>Sales</x:v>
      </x:c>
      <x:c r="L42" s="125" t="str">
        <x:v>CRM owner</x:v>
      </x:c>
      <x:c r="M42" s="344"/>
      <x:c r="N42" s="345"/>
      <x:c r="O42" s="346"/>
    </x:row>
    <x:row r="43" ht="50" customHeight="1">
      <x:c r="A43" s="352" t="str">
        <x:v>ADJ-02</x:v>
      </x:c>
      <x:c r="B43" s="125" t="str">
        <x:v>Adjacent system</x:v>
      </x:c>
      <x:c r="C43" s="125" t="str">
        <x:v>Production planning</x:v>
      </x:c>
      <x:c r="D43" s="125" t="str">
        <x:v>Plan capacity, materials and production requirements.</x:v>
      </x:c>
      <x:c r="E43" s="344"/>
      <x:c r="F43" s="344"/>
      <x:c r="G43" s="344"/>
      <x:c r="H43" s="343" t="str">
        <x:f>IF($E43="","",IF($E43="Not required","No gap",IF($F43="","",IF($F43="Covered","No gap",IF($B43="Cost estimating","Calculation gap",IF($B43="Product configuration","Configuration gap",IF($B43="Commercial quoting","Governance gap","Integration gap")))))))</x:f>
      </x:c>
      <x:c r="I43" s="343" t="str">
        <x:f>IF($A43="","","ERP/MRP/MES")</x:f>
        <x:v>ERP/MRP/MES</x:v>
      </x:c>
      <x:c r="J43" s="125" t="str">
        <x:v>ERP/MRP</x:v>
      </x:c>
      <x:c r="K43" s="125" t="str">
        <x:v>Operations</x:v>
      </x:c>
      <x:c r="L43" s="125" t="str">
        <x:v>ERP owner</x:v>
      </x:c>
      <x:c r="M43" s="344"/>
      <x:c r="N43" s="345"/>
      <x:c r="O43" s="346"/>
    </x:row>
    <x:row r="44" ht="50" customHeight="1">
      <x:c r="A44" s="352" t="str">
        <x:v>ADJ-03</x:v>
      </x:c>
      <x:c r="B44" s="125" t="str">
        <x:v>Adjacent system</x:v>
      </x:c>
      <x:c r="C44" s="125" t="str">
        <x:v>Inventory</x:v>
      </x:c>
      <x:c r="D44" s="125" t="str">
        <x:v>Manage material and finished-goods inventory.</x:v>
      </x:c>
      <x:c r="E44" s="344"/>
      <x:c r="F44" s="344"/>
      <x:c r="G44" s="344"/>
      <x:c r="H44" s="343" t="str">
        <x:f>IF($E44="","",IF($E44="Not required","No gap",IF($F44="","",IF($F44="Covered","No gap",IF($B44="Cost estimating","Calculation gap",IF($B44="Product configuration","Configuration gap",IF($B44="Commercial quoting","Governance gap","Integration gap")))))))</x:f>
      </x:c>
      <x:c r="I44" s="343" t="str">
        <x:f>IF($A44="","","ERP/MRP/MES")</x:f>
        <x:v>ERP/MRP/MES</x:v>
      </x:c>
      <x:c r="J44" s="125" t="str">
        <x:v>ERP/MRP</x:v>
      </x:c>
      <x:c r="K44" s="125" t="str">
        <x:v>Supply chain</x:v>
      </x:c>
      <x:c r="L44" s="125" t="str">
        <x:v>ERP owner</x:v>
      </x:c>
      <x:c r="M44" s="344"/>
      <x:c r="N44" s="345"/>
      <x:c r="O44" s="346"/>
    </x:row>
    <x:row r="45" ht="50" customHeight="1">
      <x:c r="A45" s="352" t="str">
        <x:v>ADJ-04</x:v>
      </x:c>
      <x:c r="B45" s="125" t="str">
        <x:v>Adjacent system</x:v>
      </x:c>
      <x:c r="C45" s="125" t="str">
        <x:v>Actual production execution</x:v>
      </x:c>
      <x:c r="D45" s="125" t="str">
        <x:v>Record shop-floor execution and actual outcomes.</x:v>
      </x:c>
      <x:c r="E45" s="344"/>
      <x:c r="F45" s="344"/>
      <x:c r="G45" s="344"/>
      <x:c r="H45" s="343" t="str">
        <x:f>IF($E45="","",IF($E45="Not required","No gap",IF($F45="","",IF($F45="Covered","No gap",IF($B45="Cost estimating","Calculation gap",IF($B45="Product configuration","Configuration gap",IF($B45="Commercial quoting","Governance gap","Integration gap")))))))</x:f>
      </x:c>
      <x:c r="I45" s="343" t="str">
        <x:f>IF($A45="","","ERP/MRP/MES")</x:f>
        <x:v>ERP/MRP/MES</x:v>
      </x:c>
      <x:c r="J45" s="125" t="str">
        <x:v>MES</x:v>
      </x:c>
      <x:c r="K45" s="125" t="str">
        <x:v>Operations</x:v>
      </x:c>
      <x:c r="L45" s="125" t="str">
        <x:v>MES owner</x:v>
      </x:c>
      <x:c r="M45" s="344"/>
      <x:c r="N45" s="345"/>
      <x:c r="O45" s="346"/>
    </x:row>
    <x:row r="46" ht="50" customHeight="1">
      <x:c r="A46" s="352" t="str">
        <x:v>ADJ-05</x:v>
      </x:c>
      <x:c r="B46" s="125" t="str">
        <x:v>Adjacent system</x:v>
      </x:c>
      <x:c r="C46" s="125" t="str">
        <x:v>E-signature</x:v>
      </x:c>
      <x:c r="D46" s="125" t="str">
        <x:v>Support controlled customer acceptance or signature.</x:v>
      </x:c>
      <x:c r="E46" s="344"/>
      <x:c r="F46" s="344"/>
      <x:c r="G46" s="344"/>
      <x:c r="H46" s="343" t="str">
        <x:f>IF($E46="","",IF($E46="Not required","No gap",IF($F46="","",IF($F46="Covered","No gap",IF($B46="Cost estimating","Calculation gap",IF($B46="Product configuration","Configuration gap",IF($B46="Commercial quoting","Governance gap","Integration gap")))))))</x:f>
      </x:c>
      <x:c r="I46" s="343" t="str">
        <x:f>IF($A46="","","Document/proposal system")</x:f>
        <x:v>Document/proposal system</x:v>
      </x:c>
      <x:c r="J46" s="125" t="str">
        <x:v>Document/proposal system</x:v>
      </x:c>
      <x:c r="K46" s="125" t="str">
        <x:v>Sales operations / Legal</x:v>
      </x:c>
      <x:c r="L46" s="125" t="str">
        <x:v>Enterprise applications</x:v>
      </x:c>
      <x:c r="M46" s="344"/>
      <x:c r="N46" s="345"/>
      <x:c r="O46" s="346"/>
    </x:row>
    <x:row r="47" ht="50" customHeight="1">
      <x:c r="A47" s="352" t="str">
        <x:v>ADJ-06</x:v>
      </x:c>
      <x:c r="B47" s="125" t="str">
        <x:v>Adjacent system</x:v>
      </x:c>
      <x:c r="C47" s="125" t="str">
        <x:v>Procurement</x:v>
      </x:c>
      <x:c r="D47" s="125" t="str">
        <x:v>Manage purchasing, supplier orders and sourcing.</x:v>
      </x:c>
      <x:c r="E47" s="344"/>
      <x:c r="F47" s="344"/>
      <x:c r="G47" s="344"/>
      <x:c r="H47" s="343" t="str">
        <x:f>IF($E47="","",IF($E47="Not required","No gap",IF($F47="","",IF($F47="Covered","No gap",IF($B47="Cost estimating","Calculation gap",IF($B47="Product configuration","Configuration gap",IF($B47="Commercial quoting","Governance gap","Integration gap")))))))</x:f>
      </x:c>
      <x:c r="I47" s="343" t="str">
        <x:f>IF($A47="","","ERP/MRP/MES")</x:f>
        <x:v>ERP/MRP/MES</x:v>
      </x:c>
      <x:c r="J47" s="125" t="str">
        <x:v>ERP/MRP</x:v>
      </x:c>
      <x:c r="K47" s="125" t="str">
        <x:v>Procurement</x:v>
      </x:c>
      <x:c r="L47" s="125" t="str">
        <x:v>ERP owner</x:v>
      </x:c>
      <x:c r="M47" s="344"/>
      <x:c r="N47" s="345"/>
      <x:c r="O47" s="346"/>
    </x:row>
    <x:row r="48" ht="50" customHeight="1">
      <x:c r="A48" s="354" t="str">
        <x:v>ADJ-07</x:v>
      </x:c>
      <x:c r="B48" s="126" t="str">
        <x:v>Adjacent system</x:v>
      </x:c>
      <x:c r="C48" s="126" t="str">
        <x:v>Order management</x:v>
      </x:c>
      <x:c r="D48" s="126" t="str">
        <x:v>Convert approved demand into controlled orders.</x:v>
      </x:c>
      <x:c r="E48" s="344"/>
      <x:c r="F48" s="344"/>
      <x:c r="G48" s="344"/>
      <x:c r="H48" s="343" t="str">
        <x:f>IF($E48="","",IF($E48="Not required","No gap",IF($F48="","",IF($F48="Covered","No gap",IF($B48="Cost estimating","Calculation gap",IF($B48="Product configuration","Configuration gap",IF($B48="Commercial quoting","Governance gap","Integration gap")))))))</x:f>
      </x:c>
      <x:c r="I48" s="343" t="str">
        <x:f>IF($A48="","","ERP/MRP/MES")</x:f>
        <x:v>ERP/MRP/MES</x:v>
      </x:c>
      <x:c r="J48" s="126" t="str">
        <x:v>ERP/MRP</x:v>
      </x:c>
      <x:c r="K48" s="126" t="str">
        <x:v>Sales operations / Operations</x:v>
      </x:c>
      <x:c r="L48" s="126" t="str">
        <x:v>ERP owner</x:v>
      </x:c>
      <x:c r="M48" s="344"/>
      <x:c r="N48" s="345"/>
      <x:c r="O48" s="346"/>
    </x:row>
  </x:sheetData>
  <x:mergeCells>
    <x:mergeCell ref="A1:O1"/>
    <x:mergeCell ref="A2:O2"/>
    <x:mergeCell ref="A3:O3"/>
  </x:mergeCells>
  <x:conditionalFormatting sqref="H6:H48">
    <x:cfRule type="expression" dxfId="5" priority="1">
      <x:formula>$H6&lt;&gt;"No gap"</x:formula>
    </x:cfRule>
    <x:cfRule type="expression" dxfId="6" priority="2">
      <x:formula>$H6="No gap"</x:formula>
    </x:cfRule>
  </x:conditionalFormatting>
  <x:conditionalFormatting sqref="M6:M48">
    <x:cfRule type="expression" dxfId="7" priority="3">
      <x:formula>$M6="Critical"</x:formula>
    </x:cfRule>
    <x:cfRule type="expression" dxfId="8" priority="4">
      <x:formula>$M6="High"</x:formula>
    </x:cfRule>
  </x:conditionalFormatting>
  <x:dataValidations count="96">
    <x:dataValidation type="list" sqref="F6">
      <x:formula1>"Not covered,Partially covered,Covered"</x:formula1>
    </x:dataValidation>
    <x:dataValidation type="list" sqref="M6">
      <x:formula1>"Low,Medium,High,Critical"</x:formula1>
    </x:dataValidation>
    <x:dataValidation type="list" sqref="F7">
      <x:formula1>"Not covered,Partially covered,Covered"</x:formula1>
    </x:dataValidation>
    <x:dataValidation type="list" sqref="M7">
      <x:formula1>"Low,Medium,High,Critical"</x:formula1>
    </x:dataValidation>
    <x:dataValidation type="list" sqref="F8">
      <x:formula1>"Not covered,Partially covered,Covered"</x:formula1>
    </x:dataValidation>
    <x:dataValidation type="list" sqref="M8">
      <x:formula1>"Low,Medium,High,Critical"</x:formula1>
    </x:dataValidation>
    <x:dataValidation type="list" sqref="F9">
      <x:formula1>"Not covered,Partially covered,Covered"</x:formula1>
    </x:dataValidation>
    <x:dataValidation type="list" sqref="M9">
      <x:formula1>"Low,Medium,High,Critical"</x:formula1>
    </x:dataValidation>
    <x:dataValidation type="list" sqref="F10">
      <x:formula1>"Not covered,Partially covered,Covered"</x:formula1>
    </x:dataValidation>
    <x:dataValidation type="list" sqref="M10">
      <x:formula1>"Low,Medium,High,Critical"</x:formula1>
    </x:dataValidation>
    <x:dataValidation type="list" sqref="F11">
      <x:formula1>"Not covered,Partially covered,Covered"</x:formula1>
    </x:dataValidation>
    <x:dataValidation type="list" sqref="M11">
      <x:formula1>"Low,Medium,High,Critical"</x:formula1>
    </x:dataValidation>
    <x:dataValidation type="list" sqref="F12">
      <x:formula1>"Not covered,Partially covered,Covered"</x:formula1>
    </x:dataValidation>
    <x:dataValidation type="list" sqref="M12">
      <x:formula1>"Low,Medium,High,Critical"</x:formula1>
    </x:dataValidation>
    <x:dataValidation type="list" sqref="F13">
      <x:formula1>"Not covered,Partially covered,Covered"</x:formula1>
    </x:dataValidation>
    <x:dataValidation type="list" sqref="M13">
      <x:formula1>"Low,Medium,High,Critical"</x:formula1>
    </x:dataValidation>
    <x:dataValidation type="list" sqref="F14">
      <x:formula1>"Not covered,Partially covered,Covered"</x:formula1>
    </x:dataValidation>
    <x:dataValidation type="list" sqref="M14">
      <x:formula1>"Low,Medium,High,Critical"</x:formula1>
    </x:dataValidation>
    <x:dataValidation type="list" sqref="F15">
      <x:formula1>"Not covered,Partially covered,Covered"</x:formula1>
    </x:dataValidation>
    <x:dataValidation type="list" sqref="M15">
      <x:formula1>"Low,Medium,High,Critical"</x:formula1>
    </x:dataValidation>
    <x:dataValidation type="list" sqref="F16">
      <x:formula1>"Not covered,Partially covered,Covered"</x:formula1>
    </x:dataValidation>
    <x:dataValidation type="list" sqref="M16">
      <x:formula1>"Low,Medium,High,Critical"</x:formula1>
    </x:dataValidation>
    <x:dataValidation type="list" sqref="F17">
      <x:formula1>"Not covered,Partially covered,Covered"</x:formula1>
    </x:dataValidation>
    <x:dataValidation type="list" sqref="M17">
      <x:formula1>"Low,Medium,High,Critical"</x:formula1>
    </x:dataValidation>
    <x:dataValidation type="list" sqref="F18">
      <x:formula1>"Not covered,Partially covered,Covered"</x:formula1>
    </x:dataValidation>
    <x:dataValidation type="list" sqref="M18">
      <x:formula1>"Low,Medium,High,Critical"</x:formula1>
    </x:dataValidation>
    <x:dataValidation type="list" sqref="F19">
      <x:formula1>"Not covered,Partially covered,Covered"</x:formula1>
    </x:dataValidation>
    <x:dataValidation type="list" sqref="M19">
      <x:formula1>"Low,Medium,High,Critical"</x:formula1>
    </x:dataValidation>
    <x:dataValidation type="list" sqref="F20">
      <x:formula1>"Not covered,Partially covered,Covered"</x:formula1>
    </x:dataValidation>
    <x:dataValidation type="list" sqref="M20">
      <x:formula1>"Low,Medium,High,Critical"</x:formula1>
    </x:dataValidation>
    <x:dataValidation type="list" sqref="F21">
      <x:formula1>"Not covered,Partially covered,Covered"</x:formula1>
    </x:dataValidation>
    <x:dataValidation type="list" sqref="M21">
      <x:formula1>"Low,Medium,High,Critical"</x:formula1>
    </x:dataValidation>
    <x:dataValidation type="list" sqref="F22">
      <x:formula1>"Not covered,Partially covered,Covered"</x:formula1>
    </x:dataValidation>
    <x:dataValidation type="list" sqref="M22">
      <x:formula1>"Low,Medium,High,Critical"</x:formula1>
    </x:dataValidation>
    <x:dataValidation type="list" sqref="F23">
      <x:formula1>"Not covered,Partially covered,Covered"</x:formula1>
    </x:dataValidation>
    <x:dataValidation type="list" sqref="M23">
      <x:formula1>"Low,Medium,High,Critical"</x:formula1>
    </x:dataValidation>
    <x:dataValidation type="list" sqref="F24">
      <x:formula1>"Not covered,Partially covered,Covered"</x:formula1>
    </x:dataValidation>
    <x:dataValidation type="list" sqref="M24">
      <x:formula1>"Low,Medium,High,Critical"</x:formula1>
    </x:dataValidation>
    <x:dataValidation type="list" sqref="F25">
      <x:formula1>"Not covered,Partially covered,Covered"</x:formula1>
    </x:dataValidation>
    <x:dataValidation type="list" sqref="M25">
      <x:formula1>"Low,Medium,High,Critical"</x:formula1>
    </x:dataValidation>
    <x:dataValidation type="list" sqref="F26">
      <x:formula1>"Not covered,Partially covered,Covered"</x:formula1>
    </x:dataValidation>
    <x:dataValidation type="list" sqref="M26">
      <x:formula1>"Low,Medium,High,Critical"</x:formula1>
    </x:dataValidation>
    <x:dataValidation type="list" sqref="F27">
      <x:formula1>"Not covered,Partially covered,Covered"</x:formula1>
    </x:dataValidation>
    <x:dataValidation type="list" sqref="M27">
      <x:formula1>"Low,Medium,High,Critical"</x:formula1>
    </x:dataValidation>
    <x:dataValidation type="list" sqref="F28">
      <x:formula1>"Not covered,Partially covered,Covered"</x:formula1>
    </x:dataValidation>
    <x:dataValidation type="list" sqref="M28">
      <x:formula1>"Low,Medium,High,Critical"</x:formula1>
    </x:dataValidation>
    <x:dataValidation type="list" sqref="F29">
      <x:formula1>"Not covered,Partially covered,Covered"</x:formula1>
    </x:dataValidation>
    <x:dataValidation type="list" sqref="M29">
      <x:formula1>"Low,Medium,High,Critical"</x:formula1>
    </x:dataValidation>
    <x:dataValidation type="list" sqref="F30">
      <x:formula1>"Not covered,Partially covered,Covered"</x:formula1>
    </x:dataValidation>
    <x:dataValidation type="list" sqref="M30">
      <x:formula1>"Low,Medium,High,Critical"</x:formula1>
    </x:dataValidation>
    <x:dataValidation type="list" sqref="F31">
      <x:formula1>"Not covered,Partially covered,Covered"</x:formula1>
    </x:dataValidation>
    <x:dataValidation type="list" sqref="M31">
      <x:formula1>"Low,Medium,High,Critical"</x:formula1>
    </x:dataValidation>
    <x:dataValidation type="list" sqref="F32">
      <x:formula1>"Not covered,Partially covered,Covered"</x:formula1>
    </x:dataValidation>
    <x:dataValidation type="list" sqref="M32">
      <x:formula1>"Low,Medium,High,Critical"</x:formula1>
    </x:dataValidation>
    <x:dataValidation type="list" sqref="F33">
      <x:formula1>"Not covered,Partially covered,Covered"</x:formula1>
    </x:dataValidation>
    <x:dataValidation type="list" sqref="M33">
      <x:formula1>"Low,Medium,High,Critical"</x:formula1>
    </x:dataValidation>
    <x:dataValidation type="list" sqref="F34">
      <x:formula1>"Not covered,Partially covered,Covered"</x:formula1>
    </x:dataValidation>
    <x:dataValidation type="list" sqref="M34">
      <x:formula1>"Low,Medium,High,Critical"</x:formula1>
    </x:dataValidation>
    <x:dataValidation type="list" sqref="F35">
      <x:formula1>"Not covered,Partially covered,Covered"</x:formula1>
    </x:dataValidation>
    <x:dataValidation type="list" sqref="M35">
      <x:formula1>"Low,Medium,High,Critical"</x:formula1>
    </x:dataValidation>
    <x:dataValidation type="list" sqref="F36">
      <x:formula1>"Not covered,Partially covered,Covered"</x:formula1>
    </x:dataValidation>
    <x:dataValidation type="list" sqref="M36">
      <x:formula1>"Low,Medium,High,Critical"</x:formula1>
    </x:dataValidation>
    <x:dataValidation type="list" sqref="F37">
      <x:formula1>"Not covered,Partially covered,Covered"</x:formula1>
    </x:dataValidation>
    <x:dataValidation type="list" sqref="M37">
      <x:formula1>"Low,Medium,High,Critical"</x:formula1>
    </x:dataValidation>
    <x:dataValidation type="list" sqref="F38">
      <x:formula1>"Not covered,Partially covered,Covered"</x:formula1>
    </x:dataValidation>
    <x:dataValidation type="list" sqref="M38">
      <x:formula1>"Low,Medium,High,Critical"</x:formula1>
    </x:dataValidation>
    <x:dataValidation type="list" sqref="F39">
      <x:formula1>"Not covered,Partially covered,Covered"</x:formula1>
    </x:dataValidation>
    <x:dataValidation type="list" sqref="M39">
      <x:formula1>"Low,Medium,High,Critical"</x:formula1>
    </x:dataValidation>
    <x:dataValidation type="list" sqref="F40">
      <x:formula1>"Not covered,Partially covered,Covered"</x:formula1>
    </x:dataValidation>
    <x:dataValidation type="list" sqref="M40">
      <x:formula1>"Low,Medium,High,Critical"</x:formula1>
    </x:dataValidation>
    <x:dataValidation type="list" sqref="F41">
      <x:formula1>"Not covered,Partially covered,Covered"</x:formula1>
    </x:dataValidation>
    <x:dataValidation type="list" sqref="M41">
      <x:formula1>"Low,Medium,High,Critical"</x:formula1>
    </x:dataValidation>
    <x:dataValidation type="list" sqref="E42">
      <x:formula1>"Not required,Helpful,Essential"</x:formula1>
    </x:dataValidation>
    <x:dataValidation type="list" sqref="F42">
      <x:formula1>"Not covered,Partially covered,Covered"</x:formula1>
    </x:dataValidation>
    <x:dataValidation type="list" sqref="M42">
      <x:formula1>"Low,Medium,High,Critical"</x:formula1>
    </x:dataValidation>
    <x:dataValidation type="list" sqref="E43">
      <x:formula1>"Not required,Helpful,Essential"</x:formula1>
    </x:dataValidation>
    <x:dataValidation type="list" sqref="F43">
      <x:formula1>"Not covered,Partially covered,Covered"</x:formula1>
    </x:dataValidation>
    <x:dataValidation type="list" sqref="M43">
      <x:formula1>"Low,Medium,High,Critical"</x:formula1>
    </x:dataValidation>
    <x:dataValidation type="list" sqref="E44">
      <x:formula1>"Not required,Helpful,Essential"</x:formula1>
    </x:dataValidation>
    <x:dataValidation type="list" sqref="F44">
      <x:formula1>"Not covered,Partially covered,Covered"</x:formula1>
    </x:dataValidation>
    <x:dataValidation type="list" sqref="M44">
      <x:formula1>"Low,Medium,High,Critical"</x:formula1>
    </x:dataValidation>
    <x:dataValidation type="list" sqref="E45">
      <x:formula1>"Not required,Helpful,Essential"</x:formula1>
    </x:dataValidation>
    <x:dataValidation type="list" sqref="F45">
      <x:formula1>"Not covered,Partially covered,Covered"</x:formula1>
    </x:dataValidation>
    <x:dataValidation type="list" sqref="M45">
      <x:formula1>"Low,Medium,High,Critical"</x:formula1>
    </x:dataValidation>
    <x:dataValidation type="list" sqref="E46">
      <x:formula1>"Not required,Helpful,Essential"</x:formula1>
    </x:dataValidation>
    <x:dataValidation type="list" sqref="F46">
      <x:formula1>"Not covered,Partially covered,Covered"</x:formula1>
    </x:dataValidation>
    <x:dataValidation type="list" sqref="M46">
      <x:formula1>"Low,Medium,High,Critical"</x:formula1>
    </x:dataValidation>
    <x:dataValidation type="list" sqref="E47">
      <x:formula1>"Not required,Helpful,Essential"</x:formula1>
    </x:dataValidation>
    <x:dataValidation type="list" sqref="F47">
      <x:formula1>"Not covered,Partially covered,Covered"</x:formula1>
    </x:dataValidation>
    <x:dataValidation type="list" sqref="M47">
      <x:formula1>"Low,Medium,High,Critical"</x:formula1>
    </x:dataValidation>
    <x:dataValidation type="list" sqref="E48">
      <x:formula1>"Not required,Helpful,Essential"</x:formula1>
    </x:dataValidation>
    <x:dataValidation type="list" sqref="F48">
      <x:formula1>"Not covered,Partially covered,Covered"</x:formula1>
    </x:dataValidation>
    <x:dataValidation type="list" sqref="M48">
      <x:formula1>"Low,Medium,High,Critical"</x:formula1>
    </x:dataValidation>
    <x:dataValidation type="list" sqref="E42:E48">
      <x:formula1>Definitions!$J$2:$J$4</x:formula1>
    </x:dataValidation>
    <x:dataValidation type="list" sqref="F6:F48">
      <x:formula1>Definitions!$N$2:$N$4</x:formula1>
    </x:dataValidation>
    <x:dataValidation type="list" sqref="M6:M48">
      <x:formula1>Definitions!$O$2:$O$5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c895462fb8425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29" hidden="0" customWidth="1"/>
    <x:col min="4" max="4" width="30" hidden="0" customWidth="1"/>
    <x:col min="5" max="5" width="30" hidden="0" customWidth="1"/>
    <x:col min="6" max="6" width="25" hidden="0" customWidth="1"/>
    <x:col min="7" max="7" width="23" hidden="0" customWidth="1"/>
    <x:col min="8" max="8" width="23" hidden="0" customWidth="1"/>
    <x:col min="9" max="9" width="22" hidden="0" customWidth="1"/>
    <x:col min="10" max="10" width="29" hidden="0" customWidth="1"/>
    <x:col min="11" max="11" width="18" hidden="0" customWidth="1"/>
    <x:col min="12" max="12" width="12" hidden="0" customWidth="1"/>
    <x:col min="13" max="13" width="30" hidden="0" customWidth="1"/>
  </x:cols>
  <x:sheetData>
    <x:row r="1" ht="30" customHeight="1">
      <x:c r="A1" s="5" t="str">
        <x:v>Configure to WIN | Manufacturing Quote Process Ownership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4" customHeight="1">
      <x:c r="A2" s="14" t="str">
        <x:v>Define which system owns each decision from estimate through customer-ready release.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</x:row>
    <x:row r="3" ht="34" customHeight="1">
      <x:c r="A3" s="24" t="str">
        <x:v>Recommended ownership is linked to the Decision tool. Current and target ownership remain implementation decisions.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</x:row>
    <x:row r="5" ht="24" customHeight="1">
      <x:c r="A5" s="55" t="str">
        <x:v>Process ownership model</x:v>
      </x:c>
      <x:c r="B5" s="55"/>
      <x:c r="C5" s="55"/>
      <x:c r="D5" s="55"/>
      <x:c r="E5" s="55"/>
      <x:c r="F5" s="55"/>
      <x:c r="G5" s="55"/>
      <x:c r="H5" s="55"/>
      <x:c r="I5" s="55"/>
      <x:c r="J5" s="55"/>
      <x:c r="K5" s="55"/>
      <x:c r="L5" s="55"/>
      <x:c r="M5" s="55"/>
    </x:row>
    <x:row r="6" ht="52" customHeight="1">
      <x:c r="A6" s="71" t="str">
        <x:v>Stage</x:v>
      </x:c>
      <x:c r="B6" s="72" t="str">
        <x:v>Core decision</x:v>
      </x:c>
      <x:c r="C6" s="72" t="str">
        <x:v>Required inputs</x:v>
      </x:c>
      <x:c r="D6" s="72" t="str">
        <x:v>Calculations or rules</x:v>
      </x:c>
      <x:c r="E6" s="72" t="str">
        <x:v>Recommended owner</x:v>
      </x:c>
      <x:c r="F6" s="72" t="str">
        <x:v>Current owner</x:v>
      </x:c>
      <x:c r="G6" s="72" t="str">
        <x:v>Source system</x:v>
      </x:c>
      <x:c r="H6" s="72" t="str">
        <x:v>Target system</x:v>
      </x:c>
      <x:c r="I6" s="72" t="str">
        <x:v>Handoff method</x:v>
      </x:c>
      <x:c r="J6" s="72" t="str">
        <x:v>Decision evidence</x:v>
      </x:c>
      <x:c r="K6" s="72" t="str">
        <x:v>Gap</x:v>
      </x:c>
      <x:c r="L6" s="72" t="str">
        <x:v>Priority</x:v>
      </x:c>
      <x:c r="M6" s="73" t="str">
        <x:v>Notes</x:v>
      </x:c>
    </x:row>
    <x:row r="7" ht="70" customHeight="1">
      <x:c r="A7" s="345" t="str">
        <x:v>Estimate</x:v>
      </x:c>
      <x:c r="B7" s="358" t="str">
        <x:v>What will it cost to make?</x:v>
      </x:c>
      <x:c r="C7" s="358" t="str">
        <x:v>Material, labor, machine, setup, tooling, subcontracting, overhead</x:v>
      </x:c>
      <x:c r="D7" s="358" t="str">
        <x:v>Cost model, routings, batch, scrap, yield and estimate assumptions</x:v>
      </x:c>
      <x:c r="E7" s="343" t="str">
        <x:f>IF('Decision tool'!$L$31="Core category","Manufacturing estimating software",IF('Decision tool'!$L$31="Supporting category","Manufacturing estimating software (supporting)",IF('Decision tool'!$L$31="Requirement to validate","Ownership to validate","No dedicated component indicated")))</x:f>
        <x:v>No dedicated component indicated</x:v>
      </x:c>
      <x:c r="F7" s="345"/>
      <x:c r="G7" s="358"/>
      <x:c r="H7" s="358"/>
      <x:c r="I7" s="358"/>
      <x:c r="J7" s="346"/>
      <x:c r="K7" s="344" t="str">
        <x:f>IF($F7="","",IF($F7=$E7,"No gap","Process gap"))</x:f>
      </x:c>
      <x:c r="L7" s="345"/>
      <x:c r="M7" s="346"/>
    </x:row>
    <x:row r="8" ht="70" customHeight="1">
      <x:c r="A8" s="345" t="str">
        <x:v>Configure</x:v>
      </x:c>
      <x:c r="B8" s="358" t="str">
        <x:v>What technical solution is valid?</x:v>
      </x:c>
      <x:c r="C8" s="358" t="str">
        <x:v>Product options, engineering data, CAD/BOM context and constraints</x:v>
      </x:c>
      <x:c r="D8" s="358" t="str">
        <x:v>Dependencies, compatibility, engineering rules and technical validation</x:v>
      </x:c>
      <x:c r="E8" s="343" t="str">
        <x:f>IF('Decision tool'!$L$32="Core category","CPQ/product configurator",IF('Decision tool'!$L$32="Supporting category","CPQ/product configurator (supporting)",IF('Decision tool'!$L$32="Requirement to validate","Ownership to validate","No dedicated component indicated")))</x:f>
        <x:v>No dedicated component indicated</x:v>
      </x:c>
      <x:c r="F8" s="345"/>
      <x:c r="G8" s="358"/>
      <x:c r="H8" s="358"/>
      <x:c r="I8" s="358"/>
      <x:c r="J8" s="346"/>
      <x:c r="K8" s="344" t="str">
        <x:f>IF($F8="","",IF($F8=$E8,"No gap","Process gap"))</x:f>
      </x:c>
      <x:c r="L8" s="345"/>
      <x:c r="M8" s="346"/>
    </x:row>
    <x:row r="9" ht="70" customHeight="1">
      <x:c r="A9" s="345" t="str">
        <x:v>Price</x:v>
      </x:c>
      <x:c r="B9" s="358" t="str">
        <x:v>What customer price and margin apply?</x:v>
      </x:c>
      <x:c r="C9" s="358" t="str">
        <x:v>Cost, price lists, customer terms, currency and commercial conditions</x:v>
      </x:c>
      <x:c r="D9" s="358" t="str">
        <x:v>Price, discount, floor price and margin calculations</x:v>
      </x:c>
      <x:c r="E9" s="343" t="str">
        <x:f>IF('Decision tool'!$L$33="Core category","Manufacturing quoting software",IF('Decision tool'!$L$33="Supporting category","Manufacturing quoting software (supporting)",IF('Decision tool'!$L$33="Requirement to validate","Ownership to validate","No dedicated component indicated")))</x:f>
        <x:v>No dedicated component indicated</x:v>
      </x:c>
      <x:c r="F9" s="345"/>
      <x:c r="G9" s="358"/>
      <x:c r="H9" s="358"/>
      <x:c r="I9" s="358"/>
      <x:c r="J9" s="346"/>
      <x:c r="K9" s="344" t="str">
        <x:f>IF($F9="","",IF($F9=$E9,"No gap","Process gap"))</x:f>
      </x:c>
      <x:c r="L9" s="345"/>
      <x:c r="M9" s="346"/>
    </x:row>
    <x:row r="10" ht="70" customHeight="1">
      <x:c r="A10" s="345" t="str">
        <x:v>Approve</x:v>
      </x:c>
      <x:c r="B10" s="358" t="str">
        <x:v>Does the commercial exception require review?</x:v>
      </x:c>
      <x:c r="C10" s="358" t="str">
        <x:v>Calculated commercial outcome, approval thresholds and risk context</x:v>
      </x:c>
      <x:c r="D10" s="358" t="str">
        <x:v>Approval rules, matrix, routing and decision logging</x:v>
      </x:c>
      <x:c r="E10" s="343" t="str">
        <x:f>IF('Decision tool'!$L$33="Core category","Manufacturing quoting software",IF('Decision tool'!$L$33="Supporting category","Manufacturing quoting software (supporting)",IF('Decision tool'!$L$33="Requirement to validate","Ownership to validate","No dedicated component indicated")))</x:f>
        <x:v>No dedicated component indicated</x:v>
      </x:c>
      <x:c r="F10" s="345"/>
      <x:c r="G10" s="358"/>
      <x:c r="H10" s="358"/>
      <x:c r="I10" s="358"/>
      <x:c r="J10" s="346"/>
      <x:c r="K10" s="344" t="str">
        <x:f>IF($F10="","",IF($F10=$E10,"No gap","Process gap"))</x:f>
      </x:c>
      <x:c r="L10" s="345"/>
      <x:c r="M10" s="346"/>
    </x:row>
    <x:row r="11" ht="70" customHeight="1">
      <x:c r="A11" s="345" t="str">
        <x:v>Release</x:v>
      </x:c>
      <x:c r="B11" s="358" t="str">
        <x:v>Which approved data becomes customer-facing output?</x:v>
      </x:c>
      <x:c r="C11" s="358" t="str">
        <x:v>Approved configuration, price, terms and quote data</x:v>
      </x:c>
      <x:c r="D11" s="358" t="str">
        <x:v>Final validation, document generation and controlled release</x:v>
      </x:c>
      <x:c r="E11" s="343" t="str">
        <x:f>IF(OR('Decision tool'!$L$33="Core category",'Decision tool'!$L$33="Supporting category"),"Manufacturing quoting or document system",IF('Decision tool'!$L$33="Requirement to validate","Release ownership to validate","Document/proposal system or existing process"))</x:f>
        <x:v>Document/proposal system or existing process</x:v>
      </x:c>
      <x:c r="F11" s="345"/>
      <x:c r="G11" s="358"/>
      <x:c r="H11" s="358"/>
      <x:c r="I11" s="358"/>
      <x:c r="J11" s="346"/>
      <x:c r="K11" s="344" t="str">
        <x:f>IF($F11="","",IF($F11=$E11,"No gap","Process gap"))</x:f>
      </x:c>
      <x:c r="L11" s="345"/>
      <x:c r="M11" s="346"/>
    </x:row>
    <x:row r="14" ht="24" customHeight="1">
      <x:c r="A14" s="55" t="str">
        <x:v>Recommended process flow</x:v>
      </x:c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</x:row>
    <x:row r="16">
      <x:c r="A16" s="155" t="str">
        <x:v>Estimate</x:v>
      </x:c>
      <x:c r="B16" s="155"/>
      <x:c r="D16" s="155" t="str">
        <x:v>Configure</x:v>
      </x:c>
      <x:c r="E16" s="155"/>
      <x:c r="G16" s="155" t="str">
        <x:v>Price</x:v>
      </x:c>
      <x:c r="H16" s="155"/>
      <x:c r="J16" s="155" t="str">
        <x:v>Approve</x:v>
      </x:c>
      <x:c r="K16" s="155"/>
      <x:c r="M16" s="155" t="str">
        <x:v>Release</x:v>
      </x:c>
    </x:row>
    <x:row r="17">
      <x:c r="A17" s="298" t="str">
        <x:f>E7</x:f>
        <x:v>No dedicated component indicated</x:v>
      </x:c>
      <x:c r="B17" s="300"/>
      <x:c r="C17" s="382" t="str">
        <x:v>→</x:v>
      </x:c>
      <x:c r="D17" s="298" t="str">
        <x:f>E8</x:f>
        <x:v>No dedicated component indicated</x:v>
      </x:c>
      <x:c r="E17" s="300"/>
      <x:c r="F17" s="382" t="str">
        <x:v>→</x:v>
      </x:c>
      <x:c r="G17" s="298" t="str">
        <x:f>E9</x:f>
        <x:v>No dedicated component indicated</x:v>
      </x:c>
      <x:c r="H17" s="300"/>
      <x:c r="I17" s="382" t="str">
        <x:v>→</x:v>
      </x:c>
      <x:c r="J17" s="298" t="str">
        <x:f>E10</x:f>
        <x:v>No dedicated component indicated</x:v>
      </x:c>
      <x:c r="K17" s="300"/>
      <x:c r="L17" s="382" t="str">
        <x:v>→</x:v>
      </x:c>
      <x:c r="M17" s="368" t="str">
        <x:f>E11</x:f>
        <x:v>Document/proposal system or existing process</x:v>
      </x:c>
    </x:row>
    <x:row r="18">
      <x:c r="A18" s="301"/>
      <x:c r="B18" s="303"/>
      <x:c r="D18" s="301"/>
      <x:c r="E18" s="303"/>
      <x:c r="G18" s="301"/>
      <x:c r="H18" s="303"/>
      <x:c r="J18" s="301"/>
      <x:c r="K18" s="303"/>
      <x:c r="M18" s="369"/>
    </x:row>
    <x:row r="19">
      <x:c r="A19" s="304"/>
      <x:c r="B19" s="306"/>
      <x:c r="D19" s="304"/>
      <x:c r="E19" s="306"/>
      <x:c r="G19" s="304"/>
      <x:c r="H19" s="306"/>
      <x:c r="J19" s="304"/>
      <x:c r="K19" s="306"/>
      <x:c r="M19" s="370"/>
    </x:row>
    <x:row r="22" ht="24" customHeight="1">
      <x:c r="A22" s="55" t="str">
        <x:v>System boundaries to validate</x:v>
      </x:c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</x:row>
    <x:row r="23">
      <x:c r="A23" s="161" t="str">
        <x:v>Who owns product master data?</x:v>
      </x:c>
      <x:c r="B23" s="162"/>
      <x:c r="C23" s="162"/>
      <x:c r="D23" s="162"/>
      <x:c r="E23" s="162"/>
      <x:c r="F23" s="163"/>
      <x:c r="G23" s="161"/>
      <x:c r="H23" s="162"/>
      <x:c r="I23" s="162"/>
      <x:c r="J23" s="162"/>
      <x:c r="K23" s="162"/>
      <x:c r="L23" s="162"/>
      <x:c r="M23" s="163"/>
    </x:row>
    <x:row r="24">
      <x:c r="A24" s="161" t="str">
        <x:v>Who owns cost values?</x:v>
      </x:c>
      <x:c r="B24" s="162"/>
      <x:c r="C24" s="162"/>
      <x:c r="D24" s="162"/>
      <x:c r="E24" s="162"/>
      <x:c r="F24" s="163"/>
      <x:c r="G24" s="161"/>
      <x:c r="H24" s="162"/>
      <x:c r="I24" s="162"/>
      <x:c r="J24" s="162"/>
      <x:c r="K24" s="162"/>
      <x:c r="L24" s="162"/>
      <x:c r="M24" s="163"/>
    </x:row>
    <x:row r="25">
      <x:c r="A25" s="161" t="str">
        <x:v>Who owns the valid configuration?</x:v>
      </x:c>
      <x:c r="B25" s="162"/>
      <x:c r="C25" s="162"/>
      <x:c r="D25" s="162"/>
      <x:c r="E25" s="162"/>
      <x:c r="F25" s="163"/>
      <x:c r="G25" s="161"/>
      <x:c r="H25" s="162"/>
      <x:c r="I25" s="162"/>
      <x:c r="J25" s="162"/>
      <x:c r="K25" s="162"/>
      <x:c r="L25" s="162"/>
      <x:c r="M25" s="163"/>
    </x:row>
    <x:row r="26">
      <x:c r="A26" s="161" t="str">
        <x:v>Who owns customer-specific pricing?</x:v>
      </x:c>
      <x:c r="B26" s="162"/>
      <x:c r="C26" s="162"/>
      <x:c r="D26" s="162"/>
      <x:c r="E26" s="162"/>
      <x:c r="F26" s="163"/>
      <x:c r="G26" s="161"/>
      <x:c r="H26" s="162"/>
      <x:c r="I26" s="162"/>
      <x:c r="J26" s="162"/>
      <x:c r="K26" s="162"/>
      <x:c r="L26" s="162"/>
      <x:c r="M26" s="163"/>
    </x:row>
    <x:row r="27">
      <x:c r="A27" s="161" t="str">
        <x:v>Who owns margin calculations?</x:v>
      </x:c>
      <x:c r="B27" s="162"/>
      <x:c r="C27" s="162"/>
      <x:c r="D27" s="162"/>
      <x:c r="E27" s="162"/>
      <x:c r="F27" s="163"/>
      <x:c r="G27" s="161"/>
      <x:c r="H27" s="162"/>
      <x:c r="I27" s="162"/>
      <x:c r="J27" s="162"/>
      <x:c r="K27" s="162"/>
      <x:c r="L27" s="162"/>
      <x:c r="M27" s="163"/>
    </x:row>
    <x:row r="28">
      <x:c r="A28" s="161" t="str">
        <x:v>Who owns approval policy?</x:v>
      </x:c>
      <x:c r="B28" s="162"/>
      <x:c r="C28" s="162"/>
      <x:c r="D28" s="162"/>
      <x:c r="E28" s="162"/>
      <x:c r="F28" s="163"/>
      <x:c r="G28" s="161"/>
      <x:c r="H28" s="162"/>
      <x:c r="I28" s="162"/>
      <x:c r="J28" s="162"/>
      <x:c r="K28" s="162"/>
      <x:c r="L28" s="162"/>
      <x:c r="M28" s="163"/>
    </x:row>
    <x:row r="29">
      <x:c r="A29" s="161" t="str">
        <x:v>Who owns quote output?</x:v>
      </x:c>
      <x:c r="B29" s="162"/>
      <x:c r="C29" s="162"/>
      <x:c r="D29" s="162"/>
      <x:c r="E29" s="162"/>
      <x:c r="F29" s="163"/>
      <x:c r="G29" s="161"/>
      <x:c r="H29" s="162"/>
      <x:c r="I29" s="162"/>
      <x:c r="J29" s="162"/>
      <x:c r="K29" s="162"/>
      <x:c r="L29" s="162"/>
      <x:c r="M29" s="163"/>
    </x:row>
    <x:row r="30">
      <x:c r="A30" s="161" t="str">
        <x:v>Which system stores the decision trace?</x:v>
      </x:c>
      <x:c r="B30" s="162"/>
      <x:c r="C30" s="162"/>
      <x:c r="D30" s="162"/>
      <x:c r="E30" s="162"/>
      <x:c r="F30" s="163"/>
      <x:c r="G30" s="161"/>
      <x:c r="H30" s="162"/>
      <x:c r="I30" s="162"/>
      <x:c r="J30" s="162"/>
      <x:c r="K30" s="162"/>
      <x:c r="L30" s="162"/>
      <x:c r="M30" s="163"/>
    </x:row>
  </x:sheetData>
  <x:mergeCells>
    <x:mergeCell ref="A1:M1"/>
    <x:mergeCell ref="A2:M2"/>
    <x:mergeCell ref="A3:M3"/>
    <x:mergeCell ref="A5:M5"/>
    <x:mergeCell ref="A14:M14"/>
    <x:mergeCell ref="A16:B16"/>
    <x:mergeCell ref="A17:B19"/>
    <x:mergeCell ref="D16:E16"/>
    <x:mergeCell ref="D17:E19"/>
    <x:mergeCell ref="G16:H16"/>
    <x:mergeCell ref="G17:H19"/>
    <x:mergeCell ref="J16:K16"/>
    <x:mergeCell ref="J17:K19"/>
    <x:mergeCell ref="M17:M19"/>
    <x:mergeCell ref="A22:M22"/>
    <x:mergeCell ref="A23:F23"/>
    <x:mergeCell ref="G23:M23"/>
    <x:mergeCell ref="A24:F24"/>
    <x:mergeCell ref="G24:M24"/>
    <x:mergeCell ref="A25:F25"/>
    <x:mergeCell ref="G25:M25"/>
    <x:mergeCell ref="A26:F26"/>
    <x:mergeCell ref="G26:M26"/>
    <x:mergeCell ref="A27:F27"/>
    <x:mergeCell ref="G27:M27"/>
    <x:mergeCell ref="A28:F28"/>
    <x:mergeCell ref="G28:M28"/>
    <x:mergeCell ref="A29:F29"/>
    <x:mergeCell ref="G29:M29"/>
    <x:mergeCell ref="A30:F30"/>
    <x:mergeCell ref="G30:M30"/>
  </x:mergeCells>
  <x:conditionalFormatting sqref="K7:K11">
    <x:cfRule type="expression" dxfId="9" priority="1">
      <x:formula>$K7&lt;&gt;"No gap"</x:formula>
    </x:cfRule>
  </x:conditionalFormatting>
  <x:dataValidations count="6">
    <x:dataValidation type="list" sqref="L7">
      <x:formula1>"Low,Medium,High,Critical"</x:formula1>
    </x:dataValidation>
    <x:dataValidation type="list" sqref="L8">
      <x:formula1>"Low,Medium,High,Critical"</x:formula1>
    </x:dataValidation>
    <x:dataValidation type="list" sqref="L9">
      <x:formula1>"Low,Medium,High,Critical"</x:formula1>
    </x:dataValidation>
    <x:dataValidation type="list" sqref="L10">
      <x:formula1>"Low,Medium,High,Critical"</x:formula1>
    </x:dataValidation>
    <x:dataValidation type="list" sqref="L11">
      <x:formula1>"Low,Medium,High,Critical"</x:formula1>
    </x:dataValidation>
    <x:dataValidation type="list" sqref="L7:L11">
      <x:formula1>Definitions!$O$2:$O$5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902a80a3c34a9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1" hidden="0" customWidth="1"/>
    <x:col min="3" max="3" width="18" hidden="0" customWidth="1"/>
    <x:col min="4" max="4" width="12" hidden="0" customWidth="1"/>
    <x:col min="5" max="5" width="3" hidden="0" customWidth="1"/>
    <x:col min="6" max="6" width="3" hidden="0" customWidth="1"/>
    <x:col min="7" max="7" width="3" hidden="0" customWidth="1"/>
    <x:col min="8" max="8" width="23" hidden="0" customWidth="1"/>
    <x:col min="9" max="9" width="16" hidden="0" customWidth="1"/>
    <x:col min="10" max="10" width="20" hidden="0" customWidth="1"/>
    <x:col min="11" max="11" width="22" hidden="0" customWidth="1"/>
    <x:col min="12" max="12" width="22" hidden="0" customWidth="1"/>
    <x:col min="13" max="13" width="22" hidden="0" customWidth="1"/>
    <x:col min="14" max="14" width="24" hidden="0" customWidth="1"/>
  </x:cols>
  <x:sheetData>
    <x:row r="1" ht="30" customHeight="1">
      <x:c r="A1" s="5" t="str">
        <x:v>Configure to WIN | Manufacturing Scenario Library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4" customHeight="1">
      <x:c r="A2" s="14" t="str">
        <x:v>Three predefined scenarios demonstrate how the same scoring model leads to different ownership patterns.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3" ht="34" customHeight="1">
      <x:c r="A3" s="24" t="str">
        <x:v>Scenario answers are illustrative. They are not customer data, market benchmarks, product recommendations or implementation advice.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5" ht="24" customHeight="1">
      <x:c r="A5" s="155" t="str">
        <x:v>Scenario 1 — Contract manufacturer</x:v>
      </x:c>
      <x:c r="B5" s="155"/>
      <x:c r="C5" s="155"/>
      <x:c r="D5" s="155"/>
      <x:c r="E5" s="155"/>
      <x:c r="F5" s="155"/>
      <x:c r="G5" s="155"/>
      <x:c r="H5" s="155"/>
      <x:c r="I5" s="155"/>
      <x:c r="J5" s="155"/>
      <x:c r="K5" s="155"/>
      <x:c r="L5" s="155"/>
      <x:c r="M5" s="155"/>
      <x:c r="N5" s="155"/>
    </x:row>
    <x:row r="6">
      <x:c r="A6" s="298" t="str">
        <x:v>Customer drawings drive material, labor, machine, setup and subcontracting estimates. Technical product configuration is limited, but margin and approval remain relevant.</x:v>
      </x:c>
      <x:c r="B6" s="299"/>
      <x:c r="C6" s="299"/>
      <x:c r="D6" s="299"/>
      <x:c r="E6" s="299"/>
      <x:c r="F6" s="299"/>
      <x:c r="G6" s="299"/>
      <x:c r="H6" s="299"/>
      <x:c r="I6" s="299"/>
      <x:c r="J6" s="299"/>
      <x:c r="K6" s="299"/>
      <x:c r="L6" s="299"/>
      <x:c r="M6" s="299"/>
      <x:c r="N6" s="300"/>
    </x:row>
    <x:row r="7">
      <x:c r="A7" s="304"/>
      <x:c r="B7" s="305"/>
      <x:c r="C7" s="305"/>
      <x:c r="D7" s="305"/>
      <x:c r="E7" s="305"/>
      <x:c r="F7" s="305"/>
      <x:c r="G7" s="305"/>
      <x:c r="H7" s="305"/>
      <x:c r="I7" s="305"/>
      <x:c r="J7" s="305"/>
      <x:c r="K7" s="305"/>
      <x:c r="L7" s="305"/>
      <x:c r="M7" s="305"/>
      <x:c r="N7" s="306"/>
    </x:row>
    <x:row r="9" ht="24" customHeight="1">
      <x:c r="A9" s="71" t="str">
        <x:v>No.</x:v>
      </x:c>
      <x:c r="B9" s="72" t="str">
        <x:v>Requirement</x:v>
      </x:c>
      <x:c r="C9" s="73" t="str">
        <x:v>Answer</x:v>
      </x:c>
      <x:c r="H9" s="55" t="str">
        <x:v>Calculated result</x:v>
      </x:c>
      <x:c r="I9" s="55"/>
      <x:c r="J9" s="55"/>
      <x:c r="K9" s="55"/>
      <x:c r="L9" s="55"/>
      <x:c r="M9" s="55"/>
      <x:c r="N9" s="55"/>
    </x:row>
    <x:row r="10" ht="36" customHeight="1">
      <x:c r="A10" s="97" t="n">
        <x:v>1</x:v>
      </x:c>
      <x:c r="B10" s="124" t="str">
        <x:v>Calculate material, labor, machine, tooling, setup, subcontracting and overhead cost</x:v>
      </x:c>
      <x:c r="C10" s="130" t="str">
        <x:v>Essential</x:v>
      </x:c>
      <x:c r="H10" s="71" t="str">
        <x:v>Category</x:v>
      </x:c>
      <x:c r="I10" s="72" t="str">
        <x:v>Score</x:v>
      </x:c>
      <x:c r="J10" s="72" t="str">
        <x:v>Intensity</x:v>
      </x:c>
      <x:c r="K10" s="73" t="str">
        <x:v>Role</x:v>
      </x:c>
    </x:row>
    <x:row r="11" ht="36" customHeight="1">
      <x:c r="A11" s="100" t="n">
        <x:v>2</x:v>
      </x:c>
      <x:c r="B11" s="125" t="str">
        <x:v>Use routings, operation times, batch sizes, scrap, yield and setup assumptions</x:v>
      </x:c>
      <x:c r="C11" s="131" t="str">
        <x:v>Essential</x:v>
      </x:c>
      <x:c r="H11" s="130" t="str">
        <x:v>Estimating</x:v>
      </x:c>
      <x:c r="I11" s="202" t="n">
        <x:f>ROUND((IF($C$10="Essential",2,IF($C$10="Helpful",1,0))*3 + IF($C$11="Essential",2,IF($C$11="Helpful",1,0))*2 + IF($C$12="Essential",2,IF($C$12="Helpful",1,0))*1 + IF($C$13="Essential",2,IF($C$13="Helpful",1,0))*2)/16*100,2)</x:f>
        <x:v>93.75</x:v>
      </x:c>
      <x:c r="J11" s="142" t="str">
        <x:f>IF($I$11&gt;=65,"High requirement",IF($I$11&gt;=40,"Moderate requirement","Low requirement"))</x:f>
        <x:v>High requirement</x:v>
      </x:c>
      <x:c r="K11" s="137" t="str">
        <x:f>IF($I$11&gt;=65,"Core category",IF(AND((IF($I$11&gt;=65,1,0)+IF($I$12&gt;=65,1,0)+IF($I$13&gt;=65,1,0))=1,$I$11&gt;=50),"Supporting category",IF($I$11&gt;=40,"Requirement to validate","No dedicated component indicated")))</x:f>
        <x:v>Core category</x:v>
      </x:c>
    </x:row>
    <x:row r="12" ht="36" customHeight="1">
      <x:c r="A12" s="100" t="n">
        <x:v>3</x:v>
      </x:c>
      <x:c r="B12" s="125" t="str">
        <x:v>Compare alternative materials, processes or estimate revisions</x:v>
      </x:c>
      <x:c r="C12" s="131" t="str">
        <x:v>Helpful</x:v>
      </x:c>
      <x:c r="H12" s="131" t="str">
        <x:v>Configuration</x:v>
      </x:c>
      <x:c r="I12" s="203" t="n">
        <x:f>ROUND((IF($C$14="Essential",2,IF($C$14="Helpful",1,0))*3 + IF($C$15="Essential",2,IF($C$15="Helpful",1,0))*3 + IF($C$16="Essential",2,IF($C$16="Helpful",1,0))*2 + IF($C$17="Essential",2,IF($C$17="Helpful",1,0))*1)/18*100,2)</x:f>
        <x:v>0</x:v>
      </x:c>
      <x:c r="J12" s="143" t="str">
        <x:f>IF($I$12&gt;=65,"High requirement",IF($I$12&gt;=40,"Moderate requirement","Low requirement"))</x:f>
        <x:v>Low requirement</x:v>
      </x:c>
      <x:c r="K12" s="139" t="str">
        <x:f>IF($I$12&gt;=65,"Core category",IF(AND((IF($I$11&gt;=65,1,0)+IF($I$12&gt;=65,1,0)+IF($I$13&gt;=65,1,0))=1,$I$12&gt;=50),"Supporting category",IF($I$12&gt;=40,"Requirement to validate","No dedicated component indicated")))</x:f>
        <x:v>No dedicated component indicated</x:v>
      </x:c>
    </x:row>
    <x:row r="13" ht="36" customHeight="1">
      <x:c r="A13" s="100" t="n">
        <x:v>4</x:v>
      </x:c>
      <x:c r="B13" s="125" t="str">
        <x:v>Compare estimated cost with actual manufacturing cost</x:v>
      </x:c>
      <x:c r="C13" s="131" t="str">
        <x:v>Essential</x:v>
      </x:c>
      <x:c r="H13" s="132" t="str">
        <x:v>Quoting</x:v>
      </x:c>
      <x:c r="I13" s="204" t="n">
        <x:f>ROUND((IF($C$18="Essential",2,IF($C$18="Helpful",1,0))*3 + IF($C$19="Essential",2,IF($C$19="Helpful",1,0))*3 + IF($C$20="Essential",2,IF($C$20="Helpful",1,0))*2 + IF($C$21="Essential",2,IF($C$21="Helpful",1,0))*1)/18*100,2)</x:f>
        <x:v>50</x:v>
      </x:c>
      <x:c r="J13" s="144" t="str">
        <x:f>IF($I$13&gt;=65,"High requirement",IF($I$13&gt;=40,"Moderate requirement","Low requirement"))</x:f>
        <x:v>Moderate requirement</x:v>
      </x:c>
      <x:c r="K13" s="141" t="str">
        <x:f>IF($I$13&gt;=65,"Core category",IF(AND((IF($I$11&gt;=65,1,0)+IF($I$12&gt;=65,1,0)+IF($I$13&gt;=65,1,0))=1,$I$13&gt;=50),"Supporting category",IF($I$13&gt;=40,"Requirement to validate","No dedicated component indicated")))</x:f>
        <x:v>Supporting category</x:v>
      </x:c>
    </x:row>
    <x:row r="14" ht="36" customHeight="1">
      <x:c r="A14" s="100" t="n">
        <x:v>5</x:v>
      </x:c>
      <x:c r="B14" s="125" t="str">
        <x:v>Enforce valid product options, dependencies and compatibility rules</x:v>
      </x:c>
      <x:c r="C14" s="131" t="str">
        <x:v>Not required</x:v>
      </x:c>
    </x:row>
    <x:row r="15" ht="36" customHeight="1">
      <x:c r="A15" s="100" t="n">
        <x:v>6</x:v>
      </x:c>
      <x:c r="B15" s="125" t="str">
        <x:v>Use CAD, BOM or engineering-rule logic</x:v>
      </x:c>
      <x:c r="C15" s="131" t="str">
        <x:v>Not required</x:v>
      </x:c>
      <x:c r="H15" s="161" t="str">
        <x:v>Recommendation</x:v>
      </x:c>
      <x:c r="I15" s="163"/>
      <x:c r="J15" s="251" t="str">
        <x:f>IF((IF($I$11&gt;=65,1,0)+IF($I$12&gt;=65,1,0)+IF($I$13&gt;=65,1,0))&gt;=2,"Combination of systems",IF((IF($I$11&gt;=65,1,0)+IF($I$12&gt;=65,1,0)+IF($I$13&gt;=65,1,0))=1,IF($I$11&gt;=65,"Manufacturing estimating software",IF($I$12&gt;=65,"CPQ/product configurator","Manufacturing quoting software")),IF(MAX($I$11,$I$12,$I$13)&lt;40,"No dedicated component indicated",IF($I$11=MAX($I$11,$I$12,$I$13),"Manufacturing estimating software",IF($I$12=MAX($I$11,$I$12,$I$13),"CPQ/product configurator","Manufacturing quoting software")))))</x:f>
        <x:v>Manufacturing estimating software</x:v>
      </x:c>
      <x:c r="K15" s="252"/>
      <x:c r="L15" s="252"/>
      <x:c r="M15" s="252"/>
      <x:c r="N15" s="253"/>
    </x:row>
    <x:row r="16" ht="36" customHeight="1">
      <x:c r="A16" s="100" t="n">
        <x:v>7</x:v>
      </x:c>
      <x:c r="B16" s="125" t="str">
        <x:v>Guide users through configurable or engineer-to-order products</x:v>
      </x:c>
      <x:c r="C16" s="131" t="str">
        <x:v>Not required</x:v>
      </x:c>
      <x:c r="H16" s="161" t="str">
        <x:v>Architecture</x:v>
      </x:c>
      <x:c r="I16" s="163"/>
      <x:c r="J16" s="271" t="str">
        <x:f>IF(J15="Combination of systems","Estimating + configurator + quoting",IF(J15="Manufacturing estimating software","Estimating-led with commercial quoting support",IF(J15="Manufacturing quoting software","Quoting-led with adjacent ERP/MRP and CRM","Ownership to validate")))</x:f>
        <x:v>Estimating-led with commercial quoting support</x:v>
      </x:c>
      <x:c r="K16" s="272"/>
      <x:c r="L16" s="272"/>
      <x:c r="M16" s="272"/>
      <x:c r="N16" s="273"/>
    </x:row>
    <x:row r="17" ht="36" customHeight="1">
      <x:c r="A17" s="100" t="n">
        <x:v>8</x:v>
      </x:c>
      <x:c r="B17" s="125" t="str">
        <x:v>Manage configuration revisions and technical validation</x:v>
      </x:c>
      <x:c r="C17" s="131" t="str">
        <x:v>Not required</x:v>
      </x:c>
    </x:row>
    <x:row r="18" ht="36" customHeight="1">
      <x:c r="A18" s="100" t="n">
        <x:v>9</x:v>
      </x:c>
      <x:c r="B18" s="125" t="str">
        <x:v>Apply price lists, customer-specific pricing, currencies, discounts and margins</x:v>
      </x:c>
      <x:c r="C18" s="131" t="str">
        <x:v>Helpful</x:v>
      </x:c>
      <x:c r="H18" s="71" t="str">
        <x:v>Stage</x:v>
      </x:c>
      <x:c r="I18" s="72" t="str">
        <x:v>Owner</x:v>
      </x:c>
      <x:c r="J18" s="72"/>
      <x:c r="K18" s="72"/>
      <x:c r="L18" s="72"/>
      <x:c r="M18" s="72"/>
      <x:c r="N18" s="73"/>
    </x:row>
    <x:row r="19" ht="36" customHeight="1">
      <x:c r="A19" s="100" t="n">
        <x:v>10</x:v>
      </x:c>
      <x:c r="B19" s="125" t="str">
        <x:v>Trigger approval from margin, discount, floor price, deal value or commercial risk</x:v>
      </x:c>
      <x:c r="C19" s="131" t="str">
        <x:v>Helpful</x:v>
      </x:c>
      <x:c r="H19" s="171" t="str">
        <x:v>Estimate</x:v>
      </x:c>
      <x:c r="I19" s="271" t="str">
        <x:f>IF($I$11&gt;=65,"Manufacturing estimating software",IF(AND($I$11&gt;=50,(IF($I$11&gt;=65,1,0)+IF($I$12&gt;=65,1,0)+IF($I$13&gt;=65,1,0))=1),"Manufacturing estimating software (supporting)","No dedicated component indicated"))</x:f>
        <x:v>Manufacturing estimating software</x:v>
      </x:c>
      <x:c r="J19" s="272"/>
      <x:c r="K19" s="272"/>
      <x:c r="L19" s="272"/>
      <x:c r="M19" s="272"/>
      <x:c r="N19" s="273"/>
    </x:row>
    <x:row r="20" ht="36" customHeight="1">
      <x:c r="A20" s="100" t="n">
        <x:v>11</x:v>
      </x:c>
      <x:c r="B20" s="125" t="str">
        <x:v>Validate quote completeness and preserve an explainable decision trace</x:v>
      </x:c>
      <x:c r="C20" s="131" t="str">
        <x:v>Helpful</x:v>
      </x:c>
      <x:c r="H20" s="171" t="str">
        <x:v>Configure</x:v>
      </x:c>
      <x:c r="I20" s="271" t="str">
        <x:f>IF($I$12&gt;=65,"CPQ/product configurator",IF(AND($I$12&gt;=50,(IF($I$11&gt;=65,1,0)+IF($I$12&gt;=65,1,0)+IF($I$13&gt;=65,1,0))=1),"CPQ/product configurator (supporting)","No dedicated component indicated"))</x:f>
        <x:v>No dedicated component indicated</x:v>
      </x:c>
      <x:c r="J20" s="272"/>
      <x:c r="K20" s="272"/>
      <x:c r="L20" s="272"/>
      <x:c r="M20" s="272"/>
      <x:c r="N20" s="273"/>
    </x:row>
    <x:row r="21" ht="36" customHeight="1">
      <x:c r="A21" s="103" t="n">
        <x:v>12</x:v>
      </x:c>
      <x:c r="B21" s="126" t="str">
        <x:v>Produce customer-ready quote output from approved data</x:v>
      </x:c>
      <x:c r="C21" s="132" t="str">
        <x:v>Helpful</x:v>
      </x:c>
      <x:c r="H21" s="171" t="str">
        <x:v>Price</x:v>
      </x:c>
      <x:c r="I21" s="271" t="str">
        <x:f>IF($I$13&gt;=65,"Manufacturing quoting software",IF(AND($I$13&gt;=50,(IF($I$11&gt;=65,1,0)+IF($I$12&gt;=65,1,0)+IF($I$13&gt;=65,1,0))=1),"Manufacturing quoting software (supporting)","No dedicated component indicated"))</x:f>
        <x:v>Manufacturing quoting software (supporting)</x:v>
      </x:c>
      <x:c r="J21" s="272"/>
      <x:c r="K21" s="272"/>
      <x:c r="L21" s="272"/>
      <x:c r="M21" s="272"/>
      <x:c r="N21" s="273"/>
    </x:row>
    <x:row r="22">
      <x:c r="H22" s="171" t="str">
        <x:v>Approve</x:v>
      </x:c>
      <x:c r="I22" s="271" t="str">
        <x:f>IF($I$13&gt;=65,"Manufacturing quoting software",IF($I$13&gt;=50,"Manufacturing quoting software (supporting)","Approval ownership to validate"))</x:f>
        <x:v>Manufacturing quoting software (supporting)</x:v>
      </x:c>
      <x:c r="J22" s="272"/>
      <x:c r="K22" s="272"/>
      <x:c r="L22" s="272"/>
      <x:c r="M22" s="272"/>
      <x:c r="N22" s="273"/>
    </x:row>
    <x:row r="23">
      <x:c r="H23" s="171" t="str">
        <x:v>Release</x:v>
      </x:c>
      <x:c r="I23" s="271" t="str">
        <x:f>IF($I$13&gt;=65,"Manufacturing quoting or document system",IF($I$13&gt;=50,"Manufacturing quoting or document system (supporting)","Document/proposal system or existing process"))</x:f>
        <x:v>Manufacturing quoting or document system (supporting)</x:v>
      </x:c>
      <x:c r="J23" s="272"/>
      <x:c r="K23" s="272"/>
      <x:c r="L23" s="272"/>
      <x:c r="M23" s="272"/>
      <x:c r="N23" s="273"/>
    </x:row>
    <x:row r="25">
      <x:c r="H25" s="298" t="str">
        <x:v>Commercial quoting support may be useful for pricing, margin and approval.</x:v>
      </x:c>
      <x:c r="I25" s="299"/>
      <x:c r="J25" s="299"/>
      <x:c r="K25" s="299"/>
      <x:c r="L25" s="299"/>
      <x:c r="M25" s="299"/>
      <x:c r="N25" s="300"/>
    </x:row>
    <x:row r="26">
      <x:c r="H26" s="304"/>
      <x:c r="I26" s="305"/>
      <x:c r="J26" s="305"/>
      <x:c r="K26" s="305"/>
      <x:c r="L26" s="305"/>
      <x:c r="M26" s="305"/>
      <x:c r="N26" s="306"/>
    </x:row>
    <x:row r="39" ht="24" customHeight="1">
      <x:c r="A39" s="155" t="str">
        <x:v>Scenario 2 — Configurable industrial-equipment manufacturer</x:v>
      </x:c>
      <x:c r="B39" s="155"/>
      <x:c r="C39" s="155"/>
      <x:c r="D39" s="155"/>
      <x:c r="E39" s="155"/>
      <x:c r="F39" s="155"/>
      <x:c r="G39" s="155"/>
      <x:c r="H39" s="155"/>
      <x:c r="I39" s="155"/>
      <x:c r="J39" s="155"/>
      <x:c r="K39" s="155"/>
      <x:c r="L39" s="155"/>
      <x:c r="M39" s="155"/>
      <x:c r="N39" s="155"/>
    </x:row>
    <x:row r="40">
      <x:c r="A40" s="298" t="str">
        <x:v>Technical options, engineering rules, BOM, manufacturing cost, customer pricing and approvals must remain connected.</x:v>
      </x:c>
      <x:c r="B40" s="299"/>
      <x:c r="C40" s="299"/>
      <x:c r="D40" s="299"/>
      <x:c r="E40" s="299"/>
      <x:c r="F40" s="299"/>
      <x:c r="G40" s="299"/>
      <x:c r="H40" s="299"/>
      <x:c r="I40" s="299"/>
      <x:c r="J40" s="299"/>
      <x:c r="K40" s="299"/>
      <x:c r="L40" s="299"/>
      <x:c r="M40" s="299"/>
      <x:c r="N40" s="300"/>
    </x:row>
    <x:row r="41">
      <x:c r="A41" s="304"/>
      <x:c r="B41" s="305"/>
      <x:c r="C41" s="305"/>
      <x:c r="D41" s="305"/>
      <x:c r="E41" s="305"/>
      <x:c r="F41" s="305"/>
      <x:c r="G41" s="305"/>
      <x:c r="H41" s="305"/>
      <x:c r="I41" s="305"/>
      <x:c r="J41" s="305"/>
      <x:c r="K41" s="305"/>
      <x:c r="L41" s="305"/>
      <x:c r="M41" s="305"/>
      <x:c r="N41" s="306"/>
    </x:row>
    <x:row r="43" ht="24" customHeight="1">
      <x:c r="A43" s="71" t="str">
        <x:v>No.</x:v>
      </x:c>
      <x:c r="B43" s="72" t="str">
        <x:v>Requirement</x:v>
      </x:c>
      <x:c r="C43" s="73" t="str">
        <x:v>Answer</x:v>
      </x:c>
      <x:c r="H43" s="55" t="str">
        <x:v>Calculated result</x:v>
      </x:c>
      <x:c r="I43" s="55"/>
      <x:c r="J43" s="55"/>
      <x:c r="K43" s="55"/>
      <x:c r="L43" s="55"/>
      <x:c r="M43" s="55"/>
      <x:c r="N43" s="55"/>
    </x:row>
    <x:row r="44" ht="36" customHeight="1">
      <x:c r="A44" s="97" t="n">
        <x:v>1</x:v>
      </x:c>
      <x:c r="B44" s="124" t="str">
        <x:v>Calculate material, labor, machine, tooling, setup, subcontracting and overhead cost</x:v>
      </x:c>
      <x:c r="C44" s="130" t="str">
        <x:v>Essential</x:v>
      </x:c>
      <x:c r="H44" s="71" t="str">
        <x:v>Category</x:v>
      </x:c>
      <x:c r="I44" s="72" t="str">
        <x:v>Score</x:v>
      </x:c>
      <x:c r="J44" s="72" t="str">
        <x:v>Intensity</x:v>
      </x:c>
      <x:c r="K44" s="73" t="str">
        <x:v>Role</x:v>
      </x:c>
    </x:row>
    <x:row r="45" ht="36" customHeight="1">
      <x:c r="A45" s="100" t="n">
        <x:v>2</x:v>
      </x:c>
      <x:c r="B45" s="125" t="str">
        <x:v>Use routings, operation times, batch sizes, scrap, yield and setup assumptions</x:v>
      </x:c>
      <x:c r="C45" s="131" t="str">
        <x:v>Essential</x:v>
      </x:c>
      <x:c r="H45" s="130" t="str">
        <x:v>Estimating</x:v>
      </x:c>
      <x:c r="I45" s="202" t="n">
        <x:f>ROUND((IF($C$44="Essential",2,IF($C$44="Helpful",1,0))*3 + IF($C$45="Essential",2,IF($C$45="Helpful",1,0))*2 + IF($C$46="Essential",2,IF($C$46="Helpful",1,0))*1 + IF($C$47="Essential",2,IF($C$47="Helpful",1,0))*2)/16*100,2)</x:f>
        <x:v>81.25</x:v>
      </x:c>
      <x:c r="J45" s="142" t="str">
        <x:f>IF($I$45&gt;=65,"High requirement",IF($I$45&gt;=40,"Moderate requirement","Low requirement"))</x:f>
        <x:v>High requirement</x:v>
      </x:c>
      <x:c r="K45" s="137" t="str">
        <x:f>IF($I$45&gt;=65,"Core category",IF(AND((IF($I$45&gt;=65,1,0)+IF($I$46&gt;=65,1,0)+IF($I$47&gt;=65,1,0))=1,$I$45&gt;=50),"Supporting category",IF($I$45&gt;=40,"Requirement to validate","No dedicated component indicated")))</x:f>
        <x:v>Core category</x:v>
      </x:c>
    </x:row>
    <x:row r="46" ht="36" customHeight="1">
      <x:c r="A46" s="100" t="n">
        <x:v>3</x:v>
      </x:c>
      <x:c r="B46" s="125" t="str">
        <x:v>Compare alternative materials, processes or estimate revisions</x:v>
      </x:c>
      <x:c r="C46" s="131" t="str">
        <x:v>Helpful</x:v>
      </x:c>
      <x:c r="H46" s="131" t="str">
        <x:v>Configuration</x:v>
      </x:c>
      <x:c r="I46" s="203" t="n">
        <x:f>ROUND((IF($C$48="Essential",2,IF($C$48="Helpful",1,0))*3 + IF($C$49="Essential",2,IF($C$49="Helpful",1,0))*3 + IF($C$50="Essential",2,IF($C$50="Helpful",1,0))*2 + IF($C$51="Essential",2,IF($C$51="Helpful",1,0))*1)/18*100,2)</x:f>
        <x:v>100</x:v>
      </x:c>
      <x:c r="J46" s="143" t="str">
        <x:f>IF($I$46&gt;=65,"High requirement",IF($I$46&gt;=40,"Moderate requirement","Low requirement"))</x:f>
        <x:v>High requirement</x:v>
      </x:c>
      <x:c r="K46" s="139" t="str">
        <x:f>IF($I$46&gt;=65,"Core category",IF(AND((IF($I$45&gt;=65,1,0)+IF($I$46&gt;=65,1,0)+IF($I$47&gt;=65,1,0))=1,$I$46&gt;=50),"Supporting category",IF($I$46&gt;=40,"Requirement to validate","No dedicated component indicated")))</x:f>
        <x:v>Core category</x:v>
      </x:c>
    </x:row>
    <x:row r="47" ht="36" customHeight="1">
      <x:c r="A47" s="100" t="n">
        <x:v>4</x:v>
      </x:c>
      <x:c r="B47" s="125" t="str">
        <x:v>Compare estimated cost with actual manufacturing cost</x:v>
      </x:c>
      <x:c r="C47" s="131" t="str">
        <x:v>Helpful</x:v>
      </x:c>
      <x:c r="H47" s="132" t="str">
        <x:v>Quoting</x:v>
      </x:c>
      <x:c r="I47" s="204" t="n">
        <x:f>ROUND((IF($C$52="Essential",2,IF($C$52="Helpful",1,0))*3 + IF($C$53="Essential",2,IF($C$53="Helpful",1,0))*3 + IF($C$54="Essential",2,IF($C$54="Helpful",1,0))*2 + IF($C$55="Essential",2,IF($C$55="Helpful",1,0))*1)/18*100,2)</x:f>
        <x:v>100</x:v>
      </x:c>
      <x:c r="J47" s="144" t="str">
        <x:f>IF($I$47&gt;=65,"High requirement",IF($I$47&gt;=40,"Moderate requirement","Low requirement"))</x:f>
        <x:v>High requirement</x:v>
      </x:c>
      <x:c r="K47" s="141" t="str">
        <x:f>IF($I$47&gt;=65,"Core category",IF(AND((IF($I$45&gt;=65,1,0)+IF($I$46&gt;=65,1,0)+IF($I$47&gt;=65,1,0))=1,$I$47&gt;=50),"Supporting category",IF($I$47&gt;=40,"Requirement to validate","No dedicated component indicated")))</x:f>
        <x:v>Core category</x:v>
      </x:c>
    </x:row>
    <x:row r="48" ht="36" customHeight="1">
      <x:c r="A48" s="100" t="n">
        <x:v>5</x:v>
      </x:c>
      <x:c r="B48" s="125" t="str">
        <x:v>Enforce valid product options, dependencies and compatibility rules</x:v>
      </x:c>
      <x:c r="C48" s="131" t="str">
        <x:v>Essential</x:v>
      </x:c>
    </x:row>
    <x:row r="49" ht="36" customHeight="1">
      <x:c r="A49" s="100" t="n">
        <x:v>6</x:v>
      </x:c>
      <x:c r="B49" s="125" t="str">
        <x:v>Use CAD, BOM or engineering-rule logic</x:v>
      </x:c>
      <x:c r="C49" s="131" t="str">
        <x:v>Essential</x:v>
      </x:c>
      <x:c r="H49" s="161" t="str">
        <x:v>Recommendation</x:v>
      </x:c>
      <x:c r="I49" s="163"/>
      <x:c r="J49" s="251" t="str">
        <x:f>IF((IF($I$45&gt;=65,1,0)+IF($I$46&gt;=65,1,0)+IF($I$47&gt;=65,1,0))&gt;=2,"Combination of systems",IF((IF($I$45&gt;=65,1,0)+IF($I$46&gt;=65,1,0)+IF($I$47&gt;=65,1,0))=1,IF($I$45&gt;=65,"Manufacturing estimating software",IF($I$46&gt;=65,"CPQ/product configurator","Manufacturing quoting software")),IF(MAX($I$45,$I$46,$I$47)&lt;40,"No dedicated component indicated",IF($I$45=MAX($I$45,$I$46,$I$47),"Manufacturing estimating software",IF($I$46=MAX($I$45,$I$46,$I$47),"CPQ/product configurator","Manufacturing quoting software")))))</x:f>
        <x:v>Combination of systems</x:v>
      </x:c>
      <x:c r="K49" s="252"/>
      <x:c r="L49" s="252"/>
      <x:c r="M49" s="252"/>
      <x:c r="N49" s="253"/>
    </x:row>
    <x:row r="50" ht="36" customHeight="1">
      <x:c r="A50" s="100" t="n">
        <x:v>7</x:v>
      </x:c>
      <x:c r="B50" s="125" t="str">
        <x:v>Guide users through configurable or engineer-to-order products</x:v>
      </x:c>
      <x:c r="C50" s="131" t="str">
        <x:v>Essential</x:v>
      </x:c>
      <x:c r="H50" s="161" t="str">
        <x:v>Architecture</x:v>
      </x:c>
      <x:c r="I50" s="163"/>
      <x:c r="J50" s="271" t="str">
        <x:f>IF(J49="Combination of systems","Estimating + configurator + quoting",IF(J49="Manufacturing estimating software","Estimating-led with commercial quoting support",IF(J49="Manufacturing quoting software","Quoting-led with adjacent ERP/MRP and CRM","Ownership to validate")))</x:f>
        <x:v>Estimating + configurator + quoting</x:v>
      </x:c>
      <x:c r="K50" s="272"/>
      <x:c r="L50" s="272"/>
      <x:c r="M50" s="272"/>
      <x:c r="N50" s="273"/>
    </x:row>
    <x:row r="51" ht="36" customHeight="1">
      <x:c r="A51" s="100" t="n">
        <x:v>8</x:v>
      </x:c>
      <x:c r="B51" s="125" t="str">
        <x:v>Manage configuration revisions and technical validation</x:v>
      </x:c>
      <x:c r="C51" s="131" t="str">
        <x:v>Essential</x:v>
      </x:c>
    </x:row>
    <x:row r="52" ht="36" customHeight="1">
      <x:c r="A52" s="100" t="n">
        <x:v>9</x:v>
      </x:c>
      <x:c r="B52" s="125" t="str">
        <x:v>Apply price lists, customer-specific pricing, currencies, discounts and margins</x:v>
      </x:c>
      <x:c r="C52" s="131" t="str">
        <x:v>Essential</x:v>
      </x:c>
      <x:c r="H52" s="71" t="str">
        <x:v>Stage</x:v>
      </x:c>
      <x:c r="I52" s="72" t="str">
        <x:v>Owner</x:v>
      </x:c>
      <x:c r="J52" s="72"/>
      <x:c r="K52" s="72"/>
      <x:c r="L52" s="72"/>
      <x:c r="M52" s="72"/>
      <x:c r="N52" s="73"/>
    </x:row>
    <x:row r="53" ht="36" customHeight="1">
      <x:c r="A53" s="100" t="n">
        <x:v>10</x:v>
      </x:c>
      <x:c r="B53" s="125" t="str">
        <x:v>Trigger approval from margin, discount, floor price, deal value or commercial risk</x:v>
      </x:c>
      <x:c r="C53" s="131" t="str">
        <x:v>Essential</x:v>
      </x:c>
      <x:c r="H53" s="171" t="str">
        <x:v>Estimate</x:v>
      </x:c>
      <x:c r="I53" s="271" t="str">
        <x:f>IF($I$45&gt;=65,"Manufacturing estimating software",IF(AND($I$45&gt;=50,(IF($I$45&gt;=65,1,0)+IF($I$46&gt;=65,1,0)+IF($I$47&gt;=65,1,0))=1),"Manufacturing estimating software (supporting)","No dedicated component indicated"))</x:f>
        <x:v>Manufacturing estimating software</x:v>
      </x:c>
      <x:c r="J53" s="272"/>
      <x:c r="K53" s="272"/>
      <x:c r="L53" s="272"/>
      <x:c r="M53" s="272"/>
      <x:c r="N53" s="273"/>
    </x:row>
    <x:row r="54" ht="36" customHeight="1">
      <x:c r="A54" s="100" t="n">
        <x:v>11</x:v>
      </x:c>
      <x:c r="B54" s="125" t="str">
        <x:v>Validate quote completeness and preserve an explainable decision trace</x:v>
      </x:c>
      <x:c r="C54" s="131" t="str">
        <x:v>Essential</x:v>
      </x:c>
      <x:c r="H54" s="171" t="str">
        <x:v>Configure</x:v>
      </x:c>
      <x:c r="I54" s="271" t="str">
        <x:f>IF($I$46&gt;=65,"CPQ/product configurator",IF(AND($I$46&gt;=50,(IF($I$45&gt;=65,1,0)+IF($I$46&gt;=65,1,0)+IF($I$47&gt;=65,1,0))=1),"CPQ/product configurator (supporting)","No dedicated component indicated"))</x:f>
        <x:v>CPQ/product configurator</x:v>
      </x:c>
      <x:c r="J54" s="272"/>
      <x:c r="K54" s="272"/>
      <x:c r="L54" s="272"/>
      <x:c r="M54" s="272"/>
      <x:c r="N54" s="273"/>
    </x:row>
    <x:row r="55" ht="36" customHeight="1">
      <x:c r="A55" s="103" t="n">
        <x:v>12</x:v>
      </x:c>
      <x:c r="B55" s="126" t="str">
        <x:v>Produce customer-ready quote output from approved data</x:v>
      </x:c>
      <x:c r="C55" s="132" t="str">
        <x:v>Essential</x:v>
      </x:c>
      <x:c r="H55" s="171" t="str">
        <x:v>Price</x:v>
      </x:c>
      <x:c r="I55" s="271" t="str">
        <x:f>IF($I$47&gt;=65,"Manufacturing quoting software",IF(AND($I$47&gt;=50,(IF($I$45&gt;=65,1,0)+IF($I$46&gt;=65,1,0)+IF($I$47&gt;=65,1,0))=1),"Manufacturing quoting software (supporting)","No dedicated component indicated"))</x:f>
        <x:v>Manufacturing quoting software</x:v>
      </x:c>
      <x:c r="J55" s="272"/>
      <x:c r="K55" s="272"/>
      <x:c r="L55" s="272"/>
      <x:c r="M55" s="272"/>
      <x:c r="N55" s="273"/>
    </x:row>
    <x:row r="56">
      <x:c r="H56" s="171" t="str">
        <x:v>Approve</x:v>
      </x:c>
      <x:c r="I56" s="271" t="str">
        <x:f>IF($I$47&gt;=65,"Manufacturing quoting software",IF($I$47&gt;=50,"Manufacturing quoting software (supporting)","Approval ownership to validate"))</x:f>
        <x:v>Manufacturing quoting software</x:v>
      </x:c>
      <x:c r="J56" s="272"/>
      <x:c r="K56" s="272"/>
      <x:c r="L56" s="272"/>
      <x:c r="M56" s="272"/>
      <x:c r="N56" s="273"/>
    </x:row>
    <x:row r="57">
      <x:c r="H57" s="171" t="str">
        <x:v>Release</x:v>
      </x:c>
      <x:c r="I57" s="271" t="str">
        <x:f>IF($I$47&gt;=65,"Manufacturing quoting or document system",IF($I$47&gt;=50,"Manufacturing quoting or document system (supporting)","Document/proposal system or existing process"))</x:f>
        <x:v>Manufacturing quoting or document system</x:v>
      </x:c>
      <x:c r="J57" s="272"/>
      <x:c r="K57" s="272"/>
      <x:c r="L57" s="272"/>
      <x:c r="M57" s="272"/>
      <x:c r="N57" s="273"/>
    </x:row>
    <x:row r="59">
      <x:c r="H59" s="298" t="str">
        <x:v>ERP/MRP and CAD/PLM remain important adjacent systems for production, inventory, engineering data and BOM control.</x:v>
      </x:c>
      <x:c r="I59" s="299"/>
      <x:c r="J59" s="299"/>
      <x:c r="K59" s="299"/>
      <x:c r="L59" s="299"/>
      <x:c r="M59" s="299"/>
      <x:c r="N59" s="300"/>
    </x:row>
    <x:row r="60">
      <x:c r="H60" s="304"/>
      <x:c r="I60" s="305"/>
      <x:c r="J60" s="305"/>
      <x:c r="K60" s="305"/>
      <x:c r="L60" s="305"/>
      <x:c r="M60" s="305"/>
      <x:c r="N60" s="306"/>
    </x:row>
    <x:row r="73" ht="24" customHeight="1">
      <x:c r="A73" s="155" t="str">
        <x:v>Scenario 3 — Manufacturer of standard products</x:v>
      </x:c>
      <x:c r="B73" s="155"/>
      <x:c r="C73" s="155"/>
      <x:c r="D73" s="155"/>
      <x:c r="E73" s="155"/>
      <x:c r="F73" s="155"/>
      <x:c r="G73" s="155"/>
      <x:c r="H73" s="155"/>
      <x:c r="I73" s="155"/>
      <x:c r="J73" s="155"/>
      <x:c r="K73" s="155"/>
      <x:c r="L73" s="155"/>
      <x:c r="M73" s="155"/>
      <x:c r="N73" s="155"/>
    </x:row>
    <x:row r="74">
      <x:c r="A74" s="298" t="str">
        <x:v>Product structures and costs are stable, but customer-specific pricing, discounts, currencies, margins and approvals are complex.</x:v>
      </x:c>
      <x:c r="B74" s="299"/>
      <x:c r="C74" s="299"/>
      <x:c r="D74" s="299"/>
      <x:c r="E74" s="299"/>
      <x:c r="F74" s="299"/>
      <x:c r="G74" s="299"/>
      <x:c r="H74" s="299"/>
      <x:c r="I74" s="299"/>
      <x:c r="J74" s="299"/>
      <x:c r="K74" s="299"/>
      <x:c r="L74" s="299"/>
      <x:c r="M74" s="299"/>
      <x:c r="N74" s="300"/>
    </x:row>
    <x:row r="75">
      <x:c r="A75" s="304"/>
      <x:c r="B75" s="305"/>
      <x:c r="C75" s="305"/>
      <x:c r="D75" s="305"/>
      <x:c r="E75" s="305"/>
      <x:c r="F75" s="305"/>
      <x:c r="G75" s="305"/>
      <x:c r="H75" s="305"/>
      <x:c r="I75" s="305"/>
      <x:c r="J75" s="305"/>
      <x:c r="K75" s="305"/>
      <x:c r="L75" s="305"/>
      <x:c r="M75" s="305"/>
      <x:c r="N75" s="306"/>
    </x:row>
    <x:row r="77" ht="24" customHeight="1">
      <x:c r="A77" s="71" t="str">
        <x:v>No.</x:v>
      </x:c>
      <x:c r="B77" s="72" t="str">
        <x:v>Requirement</x:v>
      </x:c>
      <x:c r="C77" s="73" t="str">
        <x:v>Answer</x:v>
      </x:c>
      <x:c r="H77" s="55" t="str">
        <x:v>Calculated result</x:v>
      </x:c>
      <x:c r="I77" s="55"/>
      <x:c r="J77" s="55"/>
      <x:c r="K77" s="55"/>
      <x:c r="L77" s="55"/>
      <x:c r="M77" s="55"/>
      <x:c r="N77" s="55"/>
    </x:row>
    <x:row r="78" ht="36" customHeight="1">
      <x:c r="A78" s="97" t="n">
        <x:v>1</x:v>
      </x:c>
      <x:c r="B78" s="124" t="str">
        <x:v>Calculate material, labor, machine, tooling, setup, subcontracting and overhead cost</x:v>
      </x:c>
      <x:c r="C78" s="130" t="str">
        <x:v>Not required</x:v>
      </x:c>
      <x:c r="H78" s="71" t="str">
        <x:v>Category</x:v>
      </x:c>
      <x:c r="I78" s="72" t="str">
        <x:v>Score</x:v>
      </x:c>
      <x:c r="J78" s="72" t="str">
        <x:v>Intensity</x:v>
      </x:c>
      <x:c r="K78" s="73" t="str">
        <x:v>Role</x:v>
      </x:c>
    </x:row>
    <x:row r="79" ht="36" customHeight="1">
      <x:c r="A79" s="100" t="n">
        <x:v>2</x:v>
      </x:c>
      <x:c r="B79" s="125" t="str">
        <x:v>Use routings, operation times, batch sizes, scrap, yield and setup assumptions</x:v>
      </x:c>
      <x:c r="C79" s="131" t="str">
        <x:v>Not required</x:v>
      </x:c>
      <x:c r="H79" s="130" t="str">
        <x:v>Estimating</x:v>
      </x:c>
      <x:c r="I79" s="202" t="n">
        <x:f>ROUND((IF($C$78="Essential",2,IF($C$78="Helpful",1,0))*3 + IF($C$79="Essential",2,IF($C$79="Helpful",1,0))*2 + IF($C$80="Essential",2,IF($C$80="Helpful",1,0))*1 + IF($C$81="Essential",2,IF($C$81="Helpful",1,0))*2)/16*100,2)</x:f>
        <x:v>0</x:v>
      </x:c>
      <x:c r="J79" s="142" t="str">
        <x:f>IF($I$79&gt;=65,"High requirement",IF($I$79&gt;=40,"Moderate requirement","Low requirement"))</x:f>
        <x:v>Low requirement</x:v>
      </x:c>
      <x:c r="K79" s="137" t="str">
        <x:f>IF($I$79&gt;=65,"Core category",IF(AND((IF($I$79&gt;=65,1,0)+IF($I$80&gt;=65,1,0)+IF($I$81&gt;=65,1,0))=1,$I$79&gt;=50),"Supporting category",IF($I$79&gt;=40,"Requirement to validate","No dedicated component indicated")))</x:f>
        <x:v>No dedicated component indicated</x:v>
      </x:c>
    </x:row>
    <x:row r="80" ht="36" customHeight="1">
      <x:c r="A80" s="100" t="n">
        <x:v>3</x:v>
      </x:c>
      <x:c r="B80" s="125" t="str">
        <x:v>Compare alternative materials, processes or estimate revisions</x:v>
      </x:c>
      <x:c r="C80" s="131" t="str">
        <x:v>Not required</x:v>
      </x:c>
      <x:c r="H80" s="131" t="str">
        <x:v>Configuration</x:v>
      </x:c>
      <x:c r="I80" s="203" t="n">
        <x:f>ROUND((IF($C$82="Essential",2,IF($C$82="Helpful",1,0))*3 + IF($C$83="Essential",2,IF($C$83="Helpful",1,0))*3 + IF($C$84="Essential",2,IF($C$84="Helpful",1,0))*2 + IF($C$85="Essential",2,IF($C$85="Helpful",1,0))*1)/18*100,2)</x:f>
        <x:v>0</x:v>
      </x:c>
      <x:c r="J80" s="143" t="str">
        <x:f>IF($I$80&gt;=65,"High requirement",IF($I$80&gt;=40,"Moderate requirement","Low requirement"))</x:f>
        <x:v>Low requirement</x:v>
      </x:c>
      <x:c r="K80" s="139" t="str">
        <x:f>IF($I$80&gt;=65,"Core category",IF(AND((IF($I$79&gt;=65,1,0)+IF($I$80&gt;=65,1,0)+IF($I$81&gt;=65,1,0))=1,$I$80&gt;=50),"Supporting category",IF($I$80&gt;=40,"Requirement to validate","No dedicated component indicated")))</x:f>
        <x:v>No dedicated component indicated</x:v>
      </x:c>
    </x:row>
    <x:row r="81" ht="36" customHeight="1">
      <x:c r="A81" s="100" t="n">
        <x:v>4</x:v>
      </x:c>
      <x:c r="B81" s="125" t="str">
        <x:v>Compare estimated cost with actual manufacturing cost</x:v>
      </x:c>
      <x:c r="C81" s="131" t="str">
        <x:v>Not required</x:v>
      </x:c>
      <x:c r="H81" s="132" t="str">
        <x:v>Quoting</x:v>
      </x:c>
      <x:c r="I81" s="204" t="n">
        <x:f>ROUND((IF($C$86="Essential",2,IF($C$86="Helpful",1,0))*3 + IF($C$87="Essential",2,IF($C$87="Helpful",1,0))*3 + IF($C$88="Essential",2,IF($C$88="Helpful",1,0))*2 + IF($C$89="Essential",2,IF($C$89="Helpful",1,0))*1)/18*100,2)</x:f>
        <x:v>100</x:v>
      </x:c>
      <x:c r="J81" s="144" t="str">
        <x:f>IF($I$81&gt;=65,"High requirement",IF($I$81&gt;=40,"Moderate requirement","Low requirement"))</x:f>
        <x:v>High requirement</x:v>
      </x:c>
      <x:c r="K81" s="141" t="str">
        <x:f>IF($I$81&gt;=65,"Core category",IF(AND((IF($I$79&gt;=65,1,0)+IF($I$80&gt;=65,1,0)+IF($I$81&gt;=65,1,0))=1,$I$81&gt;=50),"Supporting category",IF($I$81&gt;=40,"Requirement to validate","No dedicated component indicated")))</x:f>
        <x:v>Core category</x:v>
      </x:c>
    </x:row>
    <x:row r="82" ht="36" customHeight="1">
      <x:c r="A82" s="100" t="n">
        <x:v>5</x:v>
      </x:c>
      <x:c r="B82" s="125" t="str">
        <x:v>Enforce valid product options, dependencies and compatibility rules</x:v>
      </x:c>
      <x:c r="C82" s="131" t="str">
        <x:v>Not required</x:v>
      </x:c>
    </x:row>
    <x:row r="83" ht="36" customHeight="1">
      <x:c r="A83" s="100" t="n">
        <x:v>6</x:v>
      </x:c>
      <x:c r="B83" s="125" t="str">
        <x:v>Use CAD, BOM or engineering-rule logic</x:v>
      </x:c>
      <x:c r="C83" s="131" t="str">
        <x:v>Not required</x:v>
      </x:c>
      <x:c r="H83" s="161" t="str">
        <x:v>Recommendation</x:v>
      </x:c>
      <x:c r="I83" s="163"/>
      <x:c r="J83" s="251" t="str">
        <x:f>IF((IF($I$79&gt;=65,1,0)+IF($I$80&gt;=65,1,0)+IF($I$81&gt;=65,1,0))&gt;=2,"Combination of systems",IF((IF($I$79&gt;=65,1,0)+IF($I$80&gt;=65,1,0)+IF($I$81&gt;=65,1,0))=1,IF($I$79&gt;=65,"Manufacturing estimating software",IF($I$80&gt;=65,"CPQ/product configurator","Manufacturing quoting software")),IF(MAX($I$79,$I$80,$I$81)&lt;40,"No dedicated component indicated",IF($I$79=MAX($I$79,$I$80,$I$81),"Manufacturing estimating software",IF($I$80=MAX($I$79,$I$80,$I$81),"CPQ/product configurator","Manufacturing quoting software")))))</x:f>
        <x:v>Manufacturing quoting software</x:v>
      </x:c>
      <x:c r="K83" s="252"/>
      <x:c r="L83" s="252"/>
      <x:c r="M83" s="252"/>
      <x:c r="N83" s="253"/>
    </x:row>
    <x:row r="84" ht="36" customHeight="1">
      <x:c r="A84" s="100" t="n">
        <x:v>7</x:v>
      </x:c>
      <x:c r="B84" s="125" t="str">
        <x:v>Guide users through configurable or engineer-to-order products</x:v>
      </x:c>
      <x:c r="C84" s="131" t="str">
        <x:v>Not required</x:v>
      </x:c>
      <x:c r="H84" s="161" t="str">
        <x:v>Architecture</x:v>
      </x:c>
      <x:c r="I84" s="163"/>
      <x:c r="J84" s="271" t="str">
        <x:f>IF(J83="Combination of systems","Estimating + configurator + quoting",IF(J83="Manufacturing estimating software","Estimating-led with commercial quoting support",IF(J83="Manufacturing quoting software","Quoting-led with adjacent ERP/MRP and CRM","Ownership to validate")))</x:f>
        <x:v>Quoting-led with adjacent ERP/MRP and CRM</x:v>
      </x:c>
      <x:c r="K84" s="272"/>
      <x:c r="L84" s="272"/>
      <x:c r="M84" s="272"/>
      <x:c r="N84" s="273"/>
    </x:row>
    <x:row r="85" ht="36" customHeight="1">
      <x:c r="A85" s="100" t="n">
        <x:v>8</x:v>
      </x:c>
      <x:c r="B85" s="125" t="str">
        <x:v>Manage configuration revisions and technical validation</x:v>
      </x:c>
      <x:c r="C85" s="131" t="str">
        <x:v>Not required</x:v>
      </x:c>
    </x:row>
    <x:row r="86" ht="36" customHeight="1">
      <x:c r="A86" s="100" t="n">
        <x:v>9</x:v>
      </x:c>
      <x:c r="B86" s="125" t="str">
        <x:v>Apply price lists, customer-specific pricing, currencies, discounts and margins</x:v>
      </x:c>
      <x:c r="C86" s="131" t="str">
        <x:v>Essential</x:v>
      </x:c>
      <x:c r="H86" s="71" t="str">
        <x:v>Stage</x:v>
      </x:c>
      <x:c r="I86" s="72" t="str">
        <x:v>Owner</x:v>
      </x:c>
      <x:c r="J86" s="72"/>
      <x:c r="K86" s="72"/>
      <x:c r="L86" s="72"/>
      <x:c r="M86" s="72"/>
      <x:c r="N86" s="73"/>
    </x:row>
    <x:row r="87" ht="36" customHeight="1">
      <x:c r="A87" s="100" t="n">
        <x:v>10</x:v>
      </x:c>
      <x:c r="B87" s="125" t="str">
        <x:v>Trigger approval from margin, discount, floor price, deal value or commercial risk</x:v>
      </x:c>
      <x:c r="C87" s="131" t="str">
        <x:v>Essential</x:v>
      </x:c>
      <x:c r="H87" s="171" t="str">
        <x:v>Estimate</x:v>
      </x:c>
      <x:c r="I87" s="271" t="str">
        <x:f>IF($I$79&gt;=65,"Manufacturing estimating software",IF(AND($I$79&gt;=50,(IF($I$79&gt;=65,1,0)+IF($I$80&gt;=65,1,0)+IF($I$81&gt;=65,1,0))=1),"Manufacturing estimating software (supporting)","No dedicated component indicated"))</x:f>
        <x:v>No dedicated component indicated</x:v>
      </x:c>
      <x:c r="J87" s="272"/>
      <x:c r="K87" s="272"/>
      <x:c r="L87" s="272"/>
      <x:c r="M87" s="272"/>
      <x:c r="N87" s="273"/>
    </x:row>
    <x:row r="88" ht="36" customHeight="1">
      <x:c r="A88" s="100" t="n">
        <x:v>11</x:v>
      </x:c>
      <x:c r="B88" s="125" t="str">
        <x:v>Validate quote completeness and preserve an explainable decision trace</x:v>
      </x:c>
      <x:c r="C88" s="131" t="str">
        <x:v>Essential</x:v>
      </x:c>
      <x:c r="H88" s="171" t="str">
        <x:v>Configure</x:v>
      </x:c>
      <x:c r="I88" s="271" t="str">
        <x:f>IF($I$80&gt;=65,"CPQ/product configurator",IF(AND($I$80&gt;=50,(IF($I$79&gt;=65,1,0)+IF($I$80&gt;=65,1,0)+IF($I$81&gt;=65,1,0))=1),"CPQ/product configurator (supporting)","No dedicated component indicated"))</x:f>
        <x:v>No dedicated component indicated</x:v>
      </x:c>
      <x:c r="J88" s="272"/>
      <x:c r="K88" s="272"/>
      <x:c r="L88" s="272"/>
      <x:c r="M88" s="272"/>
      <x:c r="N88" s="273"/>
    </x:row>
    <x:row r="89" ht="36" customHeight="1">
      <x:c r="A89" s="103" t="n">
        <x:v>12</x:v>
      </x:c>
      <x:c r="B89" s="126" t="str">
        <x:v>Produce customer-ready quote output from approved data</x:v>
      </x:c>
      <x:c r="C89" s="132" t="str">
        <x:v>Essential</x:v>
      </x:c>
      <x:c r="H89" s="171" t="str">
        <x:v>Price</x:v>
      </x:c>
      <x:c r="I89" s="271" t="str">
        <x:f>IF($I$81&gt;=65,"Manufacturing quoting software",IF(AND($I$81&gt;=50,(IF($I$79&gt;=65,1,0)+IF($I$80&gt;=65,1,0)+IF($I$81&gt;=65,1,0))=1),"Manufacturing quoting software (supporting)","No dedicated component indicated"))</x:f>
        <x:v>Manufacturing quoting software</x:v>
      </x:c>
      <x:c r="J89" s="272"/>
      <x:c r="K89" s="272"/>
      <x:c r="L89" s="272"/>
      <x:c r="M89" s="272"/>
      <x:c r="N89" s="273"/>
    </x:row>
    <x:row r="90">
      <x:c r="H90" s="171" t="str">
        <x:v>Approve</x:v>
      </x:c>
      <x:c r="I90" s="271" t="str">
        <x:f>IF($I$81&gt;=65,"Manufacturing quoting software",IF($I$81&gt;=50,"Manufacturing quoting software (supporting)","Approval ownership to validate"))</x:f>
        <x:v>Manufacturing quoting software</x:v>
      </x:c>
      <x:c r="J90" s="272"/>
      <x:c r="K90" s="272"/>
      <x:c r="L90" s="272"/>
      <x:c r="M90" s="272"/>
      <x:c r="N90" s="273"/>
    </x:row>
    <x:row r="91">
      <x:c r="H91" s="171" t="str">
        <x:v>Release</x:v>
      </x:c>
      <x:c r="I91" s="271" t="str">
        <x:f>IF($I$81&gt;=65,"Manufacturing quoting or document system",IF($I$81&gt;=50,"Manufacturing quoting or document system (supporting)","Document/proposal system or existing process"))</x:f>
        <x:v>Manufacturing quoting or document system</x:v>
      </x:c>
      <x:c r="J91" s="272"/>
      <x:c r="K91" s="272"/>
      <x:c r="L91" s="272"/>
      <x:c r="M91" s="272"/>
      <x:c r="N91" s="273"/>
    </x:row>
    <x:row r="93">
      <x:c r="H93" s="298" t="str">
        <x:v>ERP/MRP and CRM may remain adjacent owners of product, cost, customer and opportunity data.</x:v>
      </x:c>
      <x:c r="I93" s="299"/>
      <x:c r="J93" s="299"/>
      <x:c r="K93" s="299"/>
      <x:c r="L93" s="299"/>
      <x:c r="M93" s="299"/>
      <x:c r="N93" s="300"/>
    </x:row>
    <x:row r="94">
      <x:c r="H94" s="304"/>
      <x:c r="I94" s="305"/>
      <x:c r="J94" s="305"/>
      <x:c r="K94" s="305"/>
      <x:c r="L94" s="305"/>
      <x:c r="M94" s="305"/>
      <x:c r="N94" s="306"/>
    </x:row>
  </x:sheetData>
  <x:mergeCells>
    <x:mergeCell ref="A1:N1"/>
    <x:mergeCell ref="A2:N2"/>
    <x:mergeCell ref="A3:N3"/>
    <x:mergeCell ref="A5:N5"/>
    <x:mergeCell ref="A6:N7"/>
    <x:mergeCell ref="H9:N9"/>
    <x:mergeCell ref="H15:I15"/>
    <x:mergeCell ref="J15:N15"/>
    <x:mergeCell ref="H16:I16"/>
    <x:mergeCell ref="J16:N16"/>
    <x:mergeCell ref="I19:N19"/>
    <x:mergeCell ref="I20:N20"/>
    <x:mergeCell ref="I21:N21"/>
    <x:mergeCell ref="I22:N22"/>
    <x:mergeCell ref="I23:N23"/>
    <x:mergeCell ref="H25:N26"/>
    <x:mergeCell ref="A39:N39"/>
    <x:mergeCell ref="A40:N41"/>
    <x:mergeCell ref="H43:N43"/>
    <x:mergeCell ref="H49:I49"/>
    <x:mergeCell ref="J49:N49"/>
    <x:mergeCell ref="H50:I50"/>
    <x:mergeCell ref="J50:N50"/>
    <x:mergeCell ref="I53:N53"/>
    <x:mergeCell ref="I54:N54"/>
    <x:mergeCell ref="I55:N55"/>
    <x:mergeCell ref="I56:N56"/>
    <x:mergeCell ref="I57:N57"/>
    <x:mergeCell ref="H59:N60"/>
    <x:mergeCell ref="A73:N73"/>
    <x:mergeCell ref="A74:N75"/>
    <x:mergeCell ref="H77:N77"/>
    <x:mergeCell ref="H83:I83"/>
    <x:mergeCell ref="J83:N83"/>
    <x:mergeCell ref="H84:I84"/>
    <x:mergeCell ref="J84:N84"/>
    <x:mergeCell ref="I87:N87"/>
    <x:mergeCell ref="I88:N88"/>
    <x:mergeCell ref="I89:N89"/>
    <x:mergeCell ref="I90:N90"/>
    <x:mergeCell ref="I91:N91"/>
    <x:mergeCell ref="H93:N94"/>
  </x:mergeCells>
  <x:dataValidations count="3">
    <x:dataValidation type="list" sqref="C10:C21">
      <x:formula1>Definitions!$J$2:$J$4</x:formula1>
    </x:dataValidation>
    <x:dataValidation type="list" sqref="C44:C55">
      <x:formula1>Definitions!$J$2:$J$4</x:formula1>
    </x:dataValidation>
    <x:dataValidation type="list" sqref="C78:C89">
      <x:formula1>Definitions!$J$2:$J$4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a3ef7e0bb9134594"/>
    <x:tablePart xmlns:r="http://schemas.openxmlformats.org/officeDocument/2006/relationships" r:id="R6d2070cfd0c344f2"/>
    <x:tablePart xmlns:r="http://schemas.openxmlformats.org/officeDocument/2006/relationships" r:id="R9b1f40f250bf40e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3" hidden="0" customWidth="1"/>
    <x:col min="3" max="3" width="18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24" hidden="0" customWidth="1"/>
    <x:col min="9" max="9" width="17" hidden="0" customWidth="1"/>
    <x:col min="10" max="10" width="20" hidden="0" customWidth="1"/>
    <x:col min="11" max="11" width="22" hidden="0" customWidth="1"/>
    <x:col min="12" max="12" width="22" hidden="0" customWidth="1"/>
    <x:col min="13" max="13" width="22" hidden="0" customWidth="1"/>
    <x:col min="14" max="14" width="24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</x:cols>
  <x:sheetData>
    <x:row r="1" ht="30" customHeight="1">
      <x:c r="A1" s="5" t="str">
        <x:v>Configure to WIN | Worked example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4" customHeight="1">
      <x:c r="A2" s="14" t="str">
        <x:v>Illustrative example — not a vendor recommendation, benchmark, advice or universal implementation pattern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3" ht="34" customHeight="1">
      <x:c r="A3" s="24" t="str">
        <x:v>The result is derived solely from the fictional answers in this worked example. It is not a market benchmark, product recommendation or implementation advice.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5" ht="24" customHeight="1">
      <x:c r="A5" s="55" t="str">
        <x:v>Configurable industrial-equipment assessment</x:v>
      </x:c>
      <x:c r="B5" s="55"/>
      <x:c r="C5" s="55"/>
      <x:c r="H5" s="155" t="str">
        <x:v>Result dashboard</x:v>
      </x:c>
      <x:c r="I5" s="155"/>
      <x:c r="J5" s="155"/>
      <x:c r="K5" s="155"/>
      <x:c r="L5" s="155"/>
      <x:c r="M5" s="155"/>
      <x:c r="N5" s="155"/>
    </x:row>
    <x:row r="6">
      <x:c r="A6" s="71" t="str">
        <x:v>No.</x:v>
      </x:c>
      <x:c r="B6" s="72" t="str">
        <x:v>Requirement</x:v>
      </x:c>
      <x:c r="C6" s="73" t="str">
        <x:v>Answer</x:v>
      </x:c>
      <x:c r="H6" s="71" t="str">
        <x:v>Category</x:v>
      </x:c>
      <x:c r="I6" s="72" t="str">
        <x:v>Score</x:v>
      </x:c>
      <x:c r="J6" s="72" t="str">
        <x:v>Intensity</x:v>
      </x:c>
      <x:c r="K6" s="73" t="str">
        <x:v>Role</x:v>
      </x:c>
    </x:row>
    <x:row r="7" ht="38" customHeight="1">
      <x:c r="A7" s="97" t="n">
        <x:v>1</x:v>
      </x:c>
      <x:c r="B7" s="124" t="str">
        <x:v>Calculate material, labor, machine, tooling, setup, subcontracting and overhead cost</x:v>
      </x:c>
      <x:c r="C7" s="130" t="str">
        <x:v>Essential</x:v>
      </x:c>
      <x:c r="H7" s="130" t="str">
        <x:v>Estimating</x:v>
      </x:c>
      <x:c r="I7" s="202" t="n">
        <x:f>ROUND((IF($C$7="Essential",2,IF($C$7="Helpful",1,0))*3 + IF($C$8="Essential",2,IF($C$8="Helpful",1,0))*2 + IF($C$9="Essential",2,IF($C$9="Helpful",1,0))*1 + IF($C$10="Essential",2,IF($C$10="Helpful",1,0))*2)/16*100,2)</x:f>
        <x:v>81.25</x:v>
      </x:c>
      <x:c r="J7" s="142" t="str">
        <x:f>IF($I$7&gt;=65,"High requirement",IF($I$7&gt;=40,"Moderate requirement","Low requirement"))</x:f>
        <x:v>High requirement</x:v>
      </x:c>
      <x:c r="K7" s="137" t="str">
        <x:f>IF($I$7&gt;=65,"Core category",IF(AND((IF($I$7&gt;=65,1,0)+IF($I$8&gt;=65,1,0)+IF($I$9&gt;=65,1,0))=1,$I$7&gt;=50),"Supporting category",IF($I$7&gt;=40,"Requirement to validate","No dedicated component indicated")))</x:f>
        <x:v>Core category</x:v>
      </x:c>
    </x:row>
    <x:row r="8" ht="38" customHeight="1">
      <x:c r="A8" s="100" t="n">
        <x:v>2</x:v>
      </x:c>
      <x:c r="B8" s="125" t="str">
        <x:v>Use routings, operation times, batch sizes, scrap, yield and setup assumptions</x:v>
      </x:c>
      <x:c r="C8" s="131" t="str">
        <x:v>Essential</x:v>
      </x:c>
      <x:c r="H8" s="131" t="str">
        <x:v>Configuration</x:v>
      </x:c>
      <x:c r="I8" s="203" t="n">
        <x:f>ROUND((IF($C$11="Essential",2,IF($C$11="Helpful",1,0))*3 + IF($C$12="Essential",2,IF($C$12="Helpful",1,0))*3 + IF($C$13="Essential",2,IF($C$13="Helpful",1,0))*2 + IF($C$14="Essential",2,IF($C$14="Helpful",1,0))*1)/18*100,2)</x:f>
        <x:v>100</x:v>
      </x:c>
      <x:c r="J8" s="143" t="str">
        <x:f>IF($I$8&gt;=65,"High requirement",IF($I$8&gt;=40,"Moderate requirement","Low requirement"))</x:f>
        <x:v>High requirement</x:v>
      </x:c>
      <x:c r="K8" s="139" t="str">
        <x:f>IF($I$8&gt;=65,"Core category",IF(AND((IF($I$7&gt;=65,1,0)+IF($I$8&gt;=65,1,0)+IF($I$9&gt;=65,1,0))=1,$I$8&gt;=50),"Supporting category",IF($I$8&gt;=40,"Requirement to validate","No dedicated component indicated")))</x:f>
        <x:v>Core category</x:v>
      </x:c>
    </x:row>
    <x:row r="9" ht="38" customHeight="1">
      <x:c r="A9" s="100" t="n">
        <x:v>3</x:v>
      </x:c>
      <x:c r="B9" s="125" t="str">
        <x:v>Compare alternative materials, processes or estimate revisions</x:v>
      </x:c>
      <x:c r="C9" s="131" t="str">
        <x:v>Helpful</x:v>
      </x:c>
      <x:c r="H9" s="132" t="str">
        <x:v>Quoting</x:v>
      </x:c>
      <x:c r="I9" s="204" t="n">
        <x:f>ROUND((IF($C$15="Essential",2,IF($C$15="Helpful",1,0))*3 + IF($C$16="Essential",2,IF($C$16="Helpful",1,0))*3 + IF($C$17="Essential",2,IF($C$17="Helpful",1,0))*2 + IF($C$18="Essential",2,IF($C$18="Helpful",1,0))*1)/18*100,2)</x:f>
        <x:v>100</x:v>
      </x:c>
      <x:c r="J9" s="144" t="str">
        <x:f>IF($I$9&gt;=65,"High requirement",IF($I$9&gt;=40,"Moderate requirement","Low requirement"))</x:f>
        <x:v>High requirement</x:v>
      </x:c>
      <x:c r="K9" s="141" t="str">
        <x:f>IF($I$9&gt;=65,"Core category",IF(AND((IF($I$7&gt;=65,1,0)+IF($I$8&gt;=65,1,0)+IF($I$9&gt;=65,1,0))=1,$I$9&gt;=50),"Supporting category",IF($I$9&gt;=40,"Requirement to validate","No dedicated component indicated")))</x:f>
        <x:v>Core category</x:v>
      </x:c>
    </x:row>
    <x:row r="10" ht="38" customHeight="1">
      <x:c r="A10" s="100" t="n">
        <x:v>4</x:v>
      </x:c>
      <x:c r="B10" s="125" t="str">
        <x:v>Compare estimated cost with actual manufacturing cost</x:v>
      </x:c>
      <x:c r="C10" s="131" t="str">
        <x:v>Helpful</x:v>
      </x:c>
    </x:row>
    <x:row r="11" ht="38" customHeight="1">
      <x:c r="A11" s="100" t="n">
        <x:v>5</x:v>
      </x:c>
      <x:c r="B11" s="125" t="str">
        <x:v>Enforce valid product options, dependencies and compatibility rules</x:v>
      </x:c>
      <x:c r="C11" s="131" t="str">
        <x:v>Essential</x:v>
      </x:c>
      <x:c r="H11" s="161" t="str">
        <x:v>Recommendation</x:v>
      </x:c>
      <x:c r="I11" s="163"/>
      <x:c r="J11" s="251" t="str">
        <x:f>IF((IF($I$7&gt;=65,1,0)+IF($I$8&gt;=65,1,0)+IF($I$9&gt;=65,1,0))&gt;=2,"Combination of systems",IF((IF($I$7&gt;=65,1,0)+IF($I$8&gt;=65,1,0)+IF($I$9&gt;=65,1,0))=1,IF($I$7&gt;=65,"Manufacturing estimating software",IF($I$8&gt;=65,"CPQ/product configurator","Manufacturing quoting software")),IF(MAX($I$7,$I$8,$I$9)&lt;40,"No dedicated component indicated",IF($I$7=MAX($I$7,$I$8,$I$9),"Manufacturing estimating software",IF($I$8=MAX($I$7,$I$8,$I$9),"CPQ/product configurator","Manufacturing quoting software")))))</x:f>
        <x:v>Combination of systems</x:v>
      </x:c>
      <x:c r="K11" s="252"/>
      <x:c r="L11" s="252"/>
      <x:c r="M11" s="252"/>
      <x:c r="N11" s="253"/>
    </x:row>
    <x:row r="12" ht="38" customHeight="1">
      <x:c r="A12" s="100" t="n">
        <x:v>6</x:v>
      </x:c>
      <x:c r="B12" s="125" t="str">
        <x:v>Use CAD, BOM or engineering-rule logic</x:v>
      </x:c>
      <x:c r="C12" s="131" t="str">
        <x:v>Essential</x:v>
      </x:c>
      <x:c r="H12" s="161" t="str">
        <x:v>Architecture</x:v>
      </x:c>
      <x:c r="I12" s="163"/>
      <x:c r="J12" s="271" t="str">
        <x:f>IF(J11="Combination of systems","Estimating + configurator + quoting","Ownership to validate")</x:f>
        <x:v>Estimating + configurator + quoting</x:v>
      </x:c>
      <x:c r="K12" s="272"/>
      <x:c r="L12" s="272"/>
      <x:c r="M12" s="272"/>
      <x:c r="N12" s="273"/>
    </x:row>
    <x:row r="13" ht="38" customHeight="1">
      <x:c r="A13" s="100" t="n">
        <x:v>7</x:v>
      </x:c>
      <x:c r="B13" s="125" t="str">
        <x:v>Guide users through configurable or engineer-to-order products</x:v>
      </x:c>
      <x:c r="C13" s="131" t="str">
        <x:v>Essential</x:v>
      </x:c>
    </x:row>
    <x:row r="14" ht="38" customHeight="1">
      <x:c r="A14" s="100" t="n">
        <x:v>8</x:v>
      </x:c>
      <x:c r="B14" s="125" t="str">
        <x:v>Manage configuration revisions and technical validation</x:v>
      </x:c>
      <x:c r="C14" s="131" t="str">
        <x:v>Essential</x:v>
      </x:c>
    </x:row>
    <x:row r="15" ht="38" customHeight="1">
      <x:c r="A15" s="100" t="n">
        <x:v>9</x:v>
      </x:c>
      <x:c r="B15" s="125" t="str">
        <x:v>Apply price lists, customer-specific pricing, currencies, discounts and margins</x:v>
      </x:c>
      <x:c r="C15" s="131" t="str">
        <x:v>Essential</x:v>
      </x:c>
    </x:row>
    <x:row r="16" ht="38" customHeight="1">
      <x:c r="A16" s="100" t="n">
        <x:v>10</x:v>
      </x:c>
      <x:c r="B16" s="125" t="str">
        <x:v>Trigger approval from margin, discount, floor price, deal value or commercial risk</x:v>
      </x:c>
      <x:c r="C16" s="131" t="str">
        <x:v>Essential</x:v>
      </x:c>
    </x:row>
    <x:row r="17" ht="38" customHeight="1">
      <x:c r="A17" s="100" t="n">
        <x:v>11</x:v>
      </x:c>
      <x:c r="B17" s="125" t="str">
        <x:v>Validate quote completeness and preserve an explainable decision trace</x:v>
      </x:c>
      <x:c r="C17" s="131" t="str">
        <x:v>Essential</x:v>
      </x:c>
    </x:row>
    <x:row r="18" ht="38" customHeight="1">
      <x:c r="A18" s="103" t="n">
        <x:v>12</x:v>
      </x:c>
      <x:c r="B18" s="126" t="str">
        <x:v>Produce customer-ready quote output from approved data</x:v>
      </x:c>
      <x:c r="C18" s="132" t="str">
        <x:v>Essential</x:v>
      </x:c>
    </x:row>
    <x:row r="21" ht="24" customHeight="1">
      <x:c r="A21" s="55" t="str">
        <x:v>Recommended process ownership</x:v>
      </x:c>
      <x:c r="B21" s="55"/>
      <x:c r="C21" s="55"/>
      <x:c r="D21" s="55"/>
      <x:c r="E21" s="55"/>
      <x:c r="F21" s="55"/>
    </x:row>
    <x:row r="22">
      <x:c r="A22" s="71" t="str">
        <x:v>Stage</x:v>
      </x:c>
      <x:c r="B22" s="73" t="str">
        <x:v>Recommended owner</x:v>
      </x:c>
    </x:row>
    <x:row r="23">
      <x:c r="A23" s="171" t="str">
        <x:v>Estimate</x:v>
      </x:c>
      <x:c r="B23" s="340" t="str">
        <x:f>IF($I$7&gt;=65,"Manufacturing estimating software","Ownership to validate")</x:f>
        <x:v>Manufacturing estimating software</x:v>
      </x:c>
    </x:row>
    <x:row r="24">
      <x:c r="A24" s="171" t="str">
        <x:v>Configure</x:v>
      </x:c>
      <x:c r="B24" s="340" t="str">
        <x:f>IF($I$8&gt;=65,"CPQ/product configurator","Ownership to validate")</x:f>
        <x:v>CPQ/product configurator</x:v>
      </x:c>
    </x:row>
    <x:row r="25">
      <x:c r="A25" s="171" t="str">
        <x:v>Price</x:v>
      </x:c>
      <x:c r="B25" s="340" t="str">
        <x:f>IF($I$9&gt;=65,"Manufacturing quoting software","Ownership to validate")</x:f>
        <x:v>Manufacturing quoting software</x:v>
      </x:c>
    </x:row>
    <x:row r="26">
      <x:c r="A26" s="171" t="str">
        <x:v>Approve</x:v>
      </x:c>
      <x:c r="B26" s="340" t="str">
        <x:f>IF($I$9&gt;=65,"Manufacturing quoting software","Ownership to validate")</x:f>
        <x:v>Manufacturing quoting software</x:v>
      </x:c>
    </x:row>
    <x:row r="27">
      <x:c r="A27" s="171" t="str">
        <x:v>Release</x:v>
      </x:c>
      <x:c r="B27" s="340" t="str">
        <x:f>IF($I$9&gt;=65,"Manufacturing quoting or document system","Release ownership to validate")</x:f>
        <x:v>Manufacturing quoting or document system</x:v>
      </x:c>
    </x:row>
    <x:row r="30" ht="24" customHeight="1">
      <x:c r="A30" s="55" t="str">
        <x:v>Adjacent-system notes</x:v>
      </x:c>
      <x:c r="B30" s="55"/>
      <x:c r="C30" s="55"/>
      <x:c r="D30" s="55"/>
      <x:c r="E30" s="55"/>
      <x:c r="F30" s="55"/>
    </x:row>
    <x:row r="31">
      <x:c r="A31" s="392" t="str">
        <x:v>ERP/MRP may own production planning and inventory.</x:v>
      </x:c>
      <x:c r="B31" s="393"/>
      <x:c r="C31" s="393"/>
      <x:c r="D31" s="393"/>
      <x:c r="E31" s="393"/>
      <x:c r="F31" s="394"/>
    </x:row>
    <x:row r="32">
      <x:c r="A32" s="392" t="str">
        <x:v>CAD/PLM may own engineering master data and BOM control.</x:v>
      </x:c>
      <x:c r="B32" s="393"/>
      <x:c r="C32" s="393"/>
      <x:c r="D32" s="393"/>
      <x:c r="E32" s="393"/>
      <x:c r="F32" s="394"/>
    </x:row>
    <x:row r="33">
      <x:c r="A33" s="392" t="str">
        <x:v>CRM may own customer and opportunity data.</x:v>
      </x:c>
      <x:c r="B33" s="393"/>
      <x:c r="C33" s="393"/>
      <x:c r="D33" s="393"/>
      <x:c r="E33" s="393"/>
      <x:c r="F33" s="394"/>
    </x:row>
    <x:row r="36" ht="24" customHeight="1">
      <x:c r="A36" s="55" t="str">
        <x:v>Illustrative process flow</x:v>
      </x:c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</x:row>
    <x:row r="38">
      <x:c r="A38" s="155" t="str">
        <x:v>Estimate</x:v>
      </x:c>
      <x:c r="B38" s="155"/>
      <x:c r="D38" s="155" t="str">
        <x:v>Configure</x:v>
      </x:c>
      <x:c r="E38" s="155"/>
      <x:c r="G38" s="155" t="str">
        <x:v>Price</x:v>
      </x:c>
      <x:c r="H38" s="155"/>
      <x:c r="J38" s="155" t="str">
        <x:v>Approve</x:v>
      </x:c>
      <x:c r="K38" s="155"/>
      <x:c r="M38" s="155" t="str">
        <x:v>Release</x:v>
      </x:c>
      <x:c r="N38" s="155"/>
    </x:row>
    <x:row r="39">
      <x:c r="A39" s="298" t="str">
        <x:v>Manufacturing estimating software</x:v>
      </x:c>
      <x:c r="B39" s="300"/>
      <x:c r="C39" s="382" t="str">
        <x:v>→</x:v>
      </x:c>
      <x:c r="D39" s="298" t="str">
        <x:v>CPQ/product configurator</x:v>
      </x:c>
      <x:c r="E39" s="300"/>
      <x:c r="F39" s="382" t="str">
        <x:v>→</x:v>
      </x:c>
      <x:c r="G39" s="298" t="str">
        <x:v>Manufacturing quoting software</x:v>
      </x:c>
      <x:c r="H39" s="300"/>
      <x:c r="I39" s="382" t="str">
        <x:v>→</x:v>
      </x:c>
      <x:c r="J39" s="298" t="str">
        <x:v>Manufacturing quoting software</x:v>
      </x:c>
      <x:c r="K39" s="300"/>
      <x:c r="L39" s="382" t="str">
        <x:v>→</x:v>
      </x:c>
      <x:c r="M39" s="298" t="str">
        <x:v>Manufacturing quoting or document system</x:v>
      </x:c>
      <x:c r="N39" s="300"/>
    </x:row>
    <x:row r="40">
      <x:c r="A40" s="301"/>
      <x:c r="B40" s="303"/>
      <x:c r="D40" s="301"/>
      <x:c r="E40" s="303"/>
      <x:c r="G40" s="301"/>
      <x:c r="H40" s="303"/>
      <x:c r="J40" s="301"/>
      <x:c r="K40" s="303"/>
      <x:c r="M40" s="301"/>
      <x:c r="N40" s="303"/>
    </x:row>
    <x:row r="41">
      <x:c r="A41" s="304"/>
      <x:c r="B41" s="306"/>
      <x:c r="D41" s="304"/>
      <x:c r="E41" s="306"/>
      <x:c r="G41" s="304"/>
      <x:c r="H41" s="306"/>
      <x:c r="J41" s="304"/>
      <x:c r="K41" s="306"/>
      <x:c r="M41" s="304"/>
      <x:c r="N41" s="306"/>
    </x:row>
    <x:row r="52">
      <x:c r="O52" s="338" t="str">
        <x:v>Category</x:v>
      </x:c>
      <x:c r="P52" s="338" t="str">
        <x:v>Estimating</x:v>
      </x:c>
      <x:c r="Q52" s="338" t="str">
        <x:v>Configuration</x:v>
      </x:c>
      <x:c r="R52" s="338" t="str">
        <x:v>Quoting</x:v>
      </x:c>
    </x:row>
    <x:row r="53">
      <x:c r="O53" s="338" t="str">
        <x:v>Estimating</x:v>
      </x:c>
      <x:c r="P53" s="338" t="n">
        <x:f>$I$7</x:f>
        <x:v>81.25</x:v>
      </x:c>
      <x:c r="Q53" s="338" t="n">
        <x:v>0</x:v>
      </x:c>
      <x:c r="R53" s="338" t="n">
        <x:v>0</x:v>
      </x:c>
    </x:row>
    <x:row r="54">
      <x:c r="O54" s="338" t="str">
        <x:v>Configuration</x:v>
      </x:c>
      <x:c r="P54" s="338" t="n">
        <x:v>0</x:v>
      </x:c>
      <x:c r="Q54" s="338" t="n">
        <x:f>$I$8</x:f>
        <x:v>100</x:v>
      </x:c>
      <x:c r="R54" s="338" t="n">
        <x:v>0</x:v>
      </x:c>
    </x:row>
    <x:row r="55">
      <x:c r="O55" s="338" t="str">
        <x:v>Quoting</x:v>
      </x:c>
      <x:c r="P55" s="338" t="n">
        <x:v>0</x:v>
      </x:c>
      <x:c r="Q55" s="338" t="n">
        <x:v>0</x:v>
      </x:c>
      <x:c r="R55" s="338" t="n">
        <x:f>$I$9</x:f>
        <x:v>100</x:v>
      </x:c>
    </x:row>
  </x:sheetData>
  <x:mergeCells>
    <x:mergeCell ref="A1:N1"/>
    <x:mergeCell ref="A2:N2"/>
    <x:mergeCell ref="A3:N3"/>
    <x:mergeCell ref="A5:C5"/>
    <x:mergeCell ref="H5:N5"/>
    <x:mergeCell ref="H11:I11"/>
    <x:mergeCell ref="J11:N11"/>
    <x:mergeCell ref="H12:I12"/>
    <x:mergeCell ref="J12:N12"/>
    <x:mergeCell ref="A21:F21"/>
    <x:mergeCell ref="A30:F30"/>
    <x:mergeCell ref="A31:F31"/>
    <x:mergeCell ref="A32:F32"/>
    <x:mergeCell ref="A33:F33"/>
    <x:mergeCell ref="A36:N36"/>
    <x:mergeCell ref="A38:B38"/>
    <x:mergeCell ref="A39:B41"/>
    <x:mergeCell ref="D38:E38"/>
    <x:mergeCell ref="D39:E41"/>
    <x:mergeCell ref="G38:H38"/>
    <x:mergeCell ref="G39:H41"/>
    <x:mergeCell ref="J38:K38"/>
    <x:mergeCell ref="J39:K41"/>
    <x:mergeCell ref="M38:N38"/>
    <x:mergeCell ref="M39:N41"/>
  </x:mergeCells>
  <x:dataValidations count="1">
    <x:dataValidation type="list" sqref="C7:C18">
      <x:formula1>Definitions!$J$2:$J$4</x:formula1>
    </x:dataValidation>
  </x:dataValidations>
  <x:pageMargins left="0.7" right="0.7" top="0.75" bottom="0.75" header="0.3" footer="0.3"/>
  <x:drawing xmlns:r="http://schemas.openxmlformats.org/officeDocument/2006/relationships" r:id="Rad9321cbf09b4858"/>
  <x:tableParts count="2">
    <x:tablePart xmlns:r="http://schemas.openxmlformats.org/officeDocument/2006/relationships" r:id="R5c10dcbcc529426e"/>
    <x:tablePart xmlns:r="http://schemas.openxmlformats.org/officeDocument/2006/relationships" r:id="R1d5e4505a077418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9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  <x:col min="8" max="8" width="32" hidden="0" customWidth="1"/>
    <x:col min="10" max="10" width="18" hidden="0" customWidth="1"/>
    <x:col min="11" max="11" width="48" hidden="0" customWidth="1"/>
    <x:col min="12" max="12" width="44" hidden="0" customWidth="1"/>
    <x:col min="13" max="13" width="12" hidden="0" customWidth="1"/>
    <x:col min="14" max="14" width="20" hidden="0" customWidth="1"/>
    <x:col min="15" max="15" width="12" hidden="0" customWidth="1"/>
    <x:col min="16" max="16" width="20" hidden="0" customWidth="1"/>
    <x:col min="17" max="17" width="32" hidden="0" customWidth="1"/>
  </x:cols>
  <x:sheetData>
    <x:row r="1" ht="30" customHeight="1">
      <x:c r="A1" s="5" t="str">
        <x:v>Configure to WIN | Definitions and Methodology</x:v>
      </x:c>
      <x:c r="B1" s="5"/>
      <x:c r="C1" s="5"/>
      <x:c r="D1" s="5"/>
      <x:c r="E1" s="5"/>
      <x:c r="F1" s="5"/>
      <x:c r="G1" s="5"/>
      <x:c r="H1" s="5"/>
      <x:c r="J1" s="522" t="str">
        <x:v>Answer values</x:v>
      </x:c>
      <x:c r="K1" s="522" t="str">
        <x:v>Primary bottleneck</x:v>
      </x:c>
      <x:c r="L1" s="522" t="str">
        <x:v>Architecture preference</x:v>
      </x:c>
      <x:c r="M1" s="522" t="str">
        <x:v>Yes / No</x:v>
      </x:c>
      <x:c r="N1" s="522" t="str">
        <x:v>Current coverage</x:v>
      </x:c>
      <x:c r="O1" s="522" t="str">
        <x:v>Priority</x:v>
      </x:c>
      <x:c r="P1" s="522" t="str">
        <x:v>Gap categories</x:v>
      </x:c>
      <x:c r="Q1" s="522" t="str">
        <x:v>Software categories</x:v>
      </x:c>
    </x:row>
    <x:row r="2" ht="24" customHeight="1">
      <x:c r="A2" s="14" t="str">
        <x:v>Software-category definitions, scoring thresholds, recommendation logic, adjacent-system roles and limitations.</x:v>
      </x:c>
      <x:c r="B2" s="14"/>
      <x:c r="C2" s="14"/>
      <x:c r="D2" s="14"/>
      <x:c r="E2" s="14"/>
      <x:c r="F2" s="14"/>
      <x:c r="G2" s="14"/>
      <x:c r="H2" s="14"/>
      <x:c r="J2" s="525" t="str">
        <x:v>Not required</x:v>
      </x:c>
      <x:c r="K2" s="525" t="str">
        <x:v>Determining what the product or project will cost to make</x:v>
      </x:c>
      <x:c r="L2" s="525" t="str">
        <x:v>One integrated platform where practical</x:v>
      </x:c>
      <x:c r="M2" s="525" t="str">
        <x:v>No</x:v>
      </x:c>
      <x:c r="N2" s="525" t="str">
        <x:v>Not covered</x:v>
      </x:c>
      <x:c r="O2" s="525" t="str">
        <x:v>Low</x:v>
      </x:c>
      <x:c r="P2" s="525" t="str">
        <x:v>No gap</x:v>
      </x:c>
      <x:c r="Q2" s="525" t="str">
        <x:v>Manufacturing estimating software</x:v>
      </x:c>
    </x:row>
    <x:row r="3" ht="34" customHeight="1">
      <x:c r="A3" s="24" t="str">
        <x:v>The categories can overlap. The workbook recommends process ownership based on entered requirements; it does not prove that a specific vendor, product architecture or number of systems is correct.</x:v>
      </x:c>
      <x:c r="B3" s="24"/>
      <x:c r="C3" s="24"/>
      <x:c r="D3" s="24"/>
      <x:c r="E3" s="24"/>
      <x:c r="F3" s="24"/>
      <x:c r="G3" s="24"/>
      <x:c r="H3" s="24"/>
      <x:c r="J3" s="525" t="str">
        <x:v>Helpful</x:v>
      </x:c>
      <x:c r="K3" s="525" t="str">
        <x:v>Determining which product configuration is technically valid</x:v>
      </x:c>
      <x:c r="L3" s="525" t="str">
        <x:v>Connected specialist systems are acceptable</x:v>
      </x:c>
      <x:c r="M3" s="525" t="str">
        <x:v>Yes</x:v>
      </x:c>
      <x:c r="N3" s="525" t="str">
        <x:v>Partially covered</x:v>
      </x:c>
      <x:c r="O3" s="525" t="str">
        <x:v>Medium</x:v>
      </x:c>
      <x:c r="P3" s="525" t="str">
        <x:v>Process gap</x:v>
      </x:c>
      <x:c r="Q3" s="525" t="str">
        <x:v>CPQ/product configurator</x:v>
      </x:c>
    </x:row>
    <x:row r="4">
      <x:c r="J4" s="525" t="str">
        <x:v>Essential</x:v>
      </x:c>
      <x:c r="K4" s="525" t="str">
        <x:v>Determining the customer price, margin and approval path</x:v>
      </x:c>
      <x:c r="L4" s="525" t="str">
        <x:v>No preference — recommend the clearest ownership model</x:v>
      </x:c>
      <x:c r="M4" s="525"/>
      <x:c r="N4" s="525" t="str">
        <x:v>Covered</x:v>
      </x:c>
      <x:c r="O4" s="525" t="str">
        <x:v>High</x:v>
      </x:c>
      <x:c r="P4" s="525" t="str">
        <x:v>Data gap</x:v>
      </x:c>
      <x:c r="Q4" s="525" t="str">
        <x:v>Manufacturing quoting software</x:v>
      </x:c>
    </x:row>
    <x:row r="5" ht="24" customHeight="1">
      <x:c r="A5" s="55" t="str">
        <x:v>1. Software categories</x:v>
      </x:c>
      <x:c r="B5" s="55"/>
      <x:c r="C5" s="55"/>
      <x:c r="D5" s="55"/>
      <x:c r="E5" s="55"/>
      <x:c r="F5" s="55"/>
      <x:c r="G5" s="55"/>
      <x:c r="H5" s="55"/>
      <x:c r="J5" s="525"/>
      <x:c r="K5" s="525" t="str">
        <x:v>Connecting all three decisions</x:v>
      </x:c>
      <x:c r="L5" s="525"/>
      <x:c r="M5" s="525"/>
      <x:c r="N5" s="525"/>
      <x:c r="O5" s="525" t="str">
        <x:v>Critical</x:v>
      </x:c>
      <x:c r="P5" s="525" t="str">
        <x:v>Calculation gap</x:v>
      </x:c>
      <x:c r="Q5" s="525" t="str">
        <x:v>ERP/MRP/MES</x:v>
      </x:c>
    </x:row>
    <x:row r="6" ht="44" customHeight="1">
      <x:c r="A6" s="406" t="str">
        <x:v>Manufacturing estimating software</x:v>
      </x:c>
      <x:c r="B6" s="345" t="str">
        <x:v>Software that calculates the expected manufacturing cost of a product, part or project using inputs such as material, labor, machine time, setup, tooling, subcontracting and overhead.</x:v>
      </x:c>
      <x:c r="C6" s="358"/>
      <x:c r="D6" s="358"/>
      <x:c r="E6" s="358"/>
      <x:c r="F6" s="358"/>
      <x:c r="G6" s="358"/>
      <x:c r="H6" s="346"/>
      <x:c r="J6" s="525"/>
      <x:c r="K6" s="525"/>
      <x:c r="L6" s="525"/>
      <x:c r="M6" s="525"/>
      <x:c r="N6" s="525"/>
      <x:c r="O6" s="525"/>
      <x:c r="P6" s="525" t="str">
        <x:v>Configuration gap</x:v>
      </x:c>
      <x:c r="Q6" s="525" t="str">
        <x:v>CAD/PLM</x:v>
      </x:c>
    </x:row>
    <x:row r="7" ht="44" customHeight="1">
      <x:c r="A7" s="406" t="str">
        <x:v>CPQ/product configurator</x:v>
      </x:c>
      <x:c r="B7" s="345" t="str">
        <x:v>Software that guides and validates technically valid products, options, dependencies, configurations or engineering rules.</x:v>
      </x:c>
      <x:c r="C7" s="358"/>
      <x:c r="D7" s="358"/>
      <x:c r="E7" s="358"/>
      <x:c r="F7" s="358"/>
      <x:c r="G7" s="358"/>
      <x:c r="H7" s="346"/>
      <x:c r="J7" s="525"/>
      <x:c r="K7" s="525"/>
      <x:c r="L7" s="525"/>
      <x:c r="M7" s="525"/>
      <x:c r="N7" s="525"/>
      <x:c r="O7" s="525"/>
      <x:c r="P7" s="525" t="str">
        <x:v>Governance gap</x:v>
      </x:c>
      <x:c r="Q7" s="525" t="str">
        <x:v>CRM</x:v>
      </x:c>
    </x:row>
    <x:row r="8" ht="44" customHeight="1">
      <x:c r="A8" s="406" t="str">
        <x:v>Manufacturing quoting software</x:v>
      </x:c>
      <x:c r="B8" s="345" t="str">
        <x:v>Software that turns product, cost and customer context into a controlled commercial quote using pricing, margin, approval, validation and release logic.</x:v>
      </x:c>
      <x:c r="C8" s="358"/>
      <x:c r="D8" s="358"/>
      <x:c r="E8" s="358"/>
      <x:c r="F8" s="358"/>
      <x:c r="G8" s="358"/>
      <x:c r="H8" s="346"/>
      <x:c r="J8" s="525"/>
      <x:c r="K8" s="525"/>
      <x:c r="L8" s="525"/>
      <x:c r="M8" s="525"/>
      <x:c r="N8" s="525"/>
      <x:c r="O8" s="525"/>
      <x:c r="P8" s="525" t="str">
        <x:v>Integration gap</x:v>
      </x:c>
      <x:c r="Q8" s="525" t="str">
        <x:v>Document/proposal system</x:v>
      </x:c>
    </x:row>
    <x:row r="9" ht="44" customHeight="1">
      <x:c r="A9" s="406" t="str">
        <x:v>ERP/MRP</x:v>
      </x:c>
      <x:c r="B9" s="345" t="str">
        <x:v>Systems that commonly manage master data, inventory, planning, purchasing, orders and manufacturing-resource requirements.</x:v>
      </x:c>
      <x:c r="C9" s="358"/>
      <x:c r="D9" s="358"/>
      <x:c r="E9" s="358"/>
      <x:c r="F9" s="358"/>
      <x:c r="G9" s="358"/>
      <x:c r="H9" s="346"/>
      <x:c r="J9" s="525"/>
      <x:c r="K9" s="525"/>
      <x:c r="L9" s="525"/>
      <x:c r="M9" s="525"/>
      <x:c r="N9" s="525"/>
      <x:c r="O9" s="525"/>
      <x:c r="P9" s="525"/>
      <x:c r="Q9" s="525" t="str">
        <x:v>Other</x:v>
      </x:c>
    </x:row>
    <x:row r="10" ht="44" customHeight="1">
      <x:c r="A10" s="406" t="str">
        <x:v>MES</x:v>
      </x:c>
      <x:c r="B10" s="345" t="str">
        <x:v>Systems that commonly manage or record actual manufacturing execution and shop-floor outcomes.</x:v>
      </x:c>
      <x:c r="C10" s="358"/>
      <x:c r="D10" s="358"/>
      <x:c r="E10" s="358"/>
      <x:c r="F10" s="358"/>
      <x:c r="G10" s="358"/>
      <x:c r="H10" s="346"/>
    </x:row>
    <x:row r="11" ht="44" customHeight="1">
      <x:c r="A11" s="406" t="str">
        <x:v>CAD/PLM</x:v>
      </x:c>
      <x:c r="B11" s="345" t="str">
        <x:v>Systems that commonly manage technical design, engineering data, BOMs, revisions and product lifecycle information.</x:v>
      </x:c>
      <x:c r="C11" s="358"/>
      <x:c r="D11" s="358"/>
      <x:c r="E11" s="358"/>
      <x:c r="F11" s="358"/>
      <x:c r="G11" s="358"/>
      <x:c r="H11" s="346"/>
    </x:row>
    <x:row r="12" ht="44" customHeight="1">
      <x:c r="A12" s="406" t="str">
        <x:v>CRM</x:v>
      </x:c>
      <x:c r="B12" s="345" t="str">
        <x:v>Software that commonly manages customer, opportunity and sales-pipeline information.</x:v>
      </x:c>
      <x:c r="C12" s="358"/>
      <x:c r="D12" s="358"/>
      <x:c r="E12" s="358"/>
      <x:c r="F12" s="358"/>
      <x:c r="G12" s="358"/>
      <x:c r="H12" s="346"/>
    </x:row>
    <x:row r="13" ht="44" customHeight="1">
      <x:c r="A13" s="406" t="str">
        <x:v>Proposal/document software</x:v>
      </x:c>
      <x:c r="B13" s="345" t="str">
        <x:v>Software that commonly manages customer-facing documents, presentation, delivery and e-signature-related workflows.</x:v>
      </x:c>
      <x:c r="C13" s="358"/>
      <x:c r="D13" s="358"/>
      <x:c r="E13" s="358"/>
      <x:c r="F13" s="358"/>
      <x:c r="G13" s="358"/>
      <x:c r="H13" s="346"/>
    </x:row>
    <x:row r="16" ht="24" customHeight="1">
      <x:c r="A16" s="55" t="str">
        <x:v>2. Requirement-score methodology</x:v>
      </x:c>
      <x:c r="B16" s="55"/>
      <x:c r="C16" s="55"/>
      <x:c r="D16" s="55"/>
      <x:c r="E16" s="55"/>
      <x:c r="F16" s="55"/>
      <x:c r="G16" s="55"/>
      <x:c r="H16" s="55"/>
    </x:row>
    <x:row r="17">
      <x:c r="A17" s="298" t="str">
        <x:v>Answer values: Not required = 0, Helpful = 1, Essential = 2. Each answer value is multiplied by the category weight. The weighted total is divided by the category maximum and displayed as a score from 0 to 100. Existing systems do not change the requirement scores.</x:v>
      </x:c>
      <x:c r="B17" s="299"/>
      <x:c r="C17" s="299"/>
      <x:c r="D17" s="299"/>
      <x:c r="E17" s="299"/>
      <x:c r="F17" s="299"/>
      <x:c r="G17" s="299"/>
      <x:c r="H17" s="300"/>
    </x:row>
    <x:row r="18">
      <x:c r="A18" s="301"/>
      <x:c r="B18" s="302"/>
      <x:c r="C18" s="302"/>
      <x:c r="D18" s="302"/>
      <x:c r="E18" s="302"/>
      <x:c r="F18" s="302"/>
      <x:c r="G18" s="302"/>
      <x:c r="H18" s="303"/>
    </x:row>
    <x:row r="19">
      <x:c r="A19" s="304"/>
      <x:c r="B19" s="305"/>
      <x:c r="C19" s="305"/>
      <x:c r="D19" s="305"/>
      <x:c r="E19" s="305"/>
      <x:c r="F19" s="305"/>
      <x:c r="G19" s="305"/>
      <x:c r="H19" s="306"/>
    </x:row>
    <x:row r="21">
      <x:c r="A21" s="71" t="str">
        <x:v>No.</x:v>
      </x:c>
      <x:c r="B21" s="72" t="str">
        <x:v>Requirement</x:v>
      </x:c>
      <x:c r="C21" s="72" t="str">
        <x:v>Estimating weight</x:v>
      </x:c>
      <x:c r="D21" s="72" t="str">
        <x:v>Configuration weight</x:v>
      </x:c>
      <x:c r="E21" s="72" t="str">
        <x:v>Quoting weight</x:v>
      </x:c>
      <x:c r="F21" s="73" t="str">
        <x:v>Answer scale</x:v>
      </x:c>
    </x:row>
    <x:row r="22" ht="42" customHeight="1">
      <x:c r="A22" s="97" t="n">
        <x:v>1</x:v>
      </x:c>
      <x:c r="B22" s="124" t="str">
        <x:v>Calculate material, labor, machine, tooling, setup, subcontracting and overhead cost</x:v>
      </x:c>
      <x:c r="C22" s="98" t="n">
        <x:v>3</x:v>
      </x:c>
      <x:c r="D22" s="98" t="n">
        <x:v>0</x:v>
      </x:c>
      <x:c r="E22" s="98" t="n">
        <x:v>0</x:v>
      </x:c>
      <x:c r="F22" s="99" t="str">
        <x:v>0 / 1 / 2</x:v>
      </x:c>
    </x:row>
    <x:row r="23" ht="42" customHeight="1">
      <x:c r="A23" s="100" t="n">
        <x:v>2</x:v>
      </x:c>
      <x:c r="B23" s="125" t="str">
        <x:v>Use routings, operation times, batch sizes, scrap, yield and setup assumptions</x:v>
      </x:c>
      <x:c r="C23" s="101" t="n">
        <x:v>2</x:v>
      </x:c>
      <x:c r="D23" s="101" t="n">
        <x:v>0</x:v>
      </x:c>
      <x:c r="E23" s="101" t="n">
        <x:v>0</x:v>
      </x:c>
      <x:c r="F23" s="102" t="str">
        <x:v>0 / 1 / 2</x:v>
      </x:c>
    </x:row>
    <x:row r="24" ht="42" customHeight="1">
      <x:c r="A24" s="100" t="n">
        <x:v>3</x:v>
      </x:c>
      <x:c r="B24" s="125" t="str">
        <x:v>Compare alternative materials, processes or estimate revisions</x:v>
      </x:c>
      <x:c r="C24" s="101" t="n">
        <x:v>1</x:v>
      </x:c>
      <x:c r="D24" s="101" t="n">
        <x:v>0</x:v>
      </x:c>
      <x:c r="E24" s="101" t="n">
        <x:v>0</x:v>
      </x:c>
      <x:c r="F24" s="102" t="str">
        <x:v>0 / 1 / 2</x:v>
      </x:c>
    </x:row>
    <x:row r="25" ht="42" customHeight="1">
      <x:c r="A25" s="100" t="n">
        <x:v>4</x:v>
      </x:c>
      <x:c r="B25" s="125" t="str">
        <x:v>Compare estimated cost with actual manufacturing cost</x:v>
      </x:c>
      <x:c r="C25" s="101" t="n">
        <x:v>2</x:v>
      </x:c>
      <x:c r="D25" s="101" t="n">
        <x:v>0</x:v>
      </x:c>
      <x:c r="E25" s="101" t="n">
        <x:v>0</x:v>
      </x:c>
      <x:c r="F25" s="102" t="str">
        <x:v>0 / 1 / 2</x:v>
      </x:c>
    </x:row>
    <x:row r="26" ht="42" customHeight="1">
      <x:c r="A26" s="100" t="n">
        <x:v>5</x:v>
      </x:c>
      <x:c r="B26" s="125" t="str">
        <x:v>Enforce valid product options, dependencies and compatibility rules</x:v>
      </x:c>
      <x:c r="C26" s="101" t="n">
        <x:v>0</x:v>
      </x:c>
      <x:c r="D26" s="101" t="n">
        <x:v>3</x:v>
      </x:c>
      <x:c r="E26" s="101" t="n">
        <x:v>0</x:v>
      </x:c>
      <x:c r="F26" s="102" t="str">
        <x:v>0 / 1 / 2</x:v>
      </x:c>
    </x:row>
    <x:row r="27" ht="42" customHeight="1">
      <x:c r="A27" s="100" t="n">
        <x:v>6</x:v>
      </x:c>
      <x:c r="B27" s="125" t="str">
        <x:v>Use CAD, BOM or engineering-rule logic</x:v>
      </x:c>
      <x:c r="C27" s="101" t="n">
        <x:v>0</x:v>
      </x:c>
      <x:c r="D27" s="101" t="n">
        <x:v>3</x:v>
      </x:c>
      <x:c r="E27" s="101" t="n">
        <x:v>0</x:v>
      </x:c>
      <x:c r="F27" s="102" t="str">
        <x:v>0 / 1 / 2</x:v>
      </x:c>
    </x:row>
    <x:row r="28" ht="42" customHeight="1">
      <x:c r="A28" s="100" t="n">
        <x:v>7</x:v>
      </x:c>
      <x:c r="B28" s="125" t="str">
        <x:v>Guide users through configurable or engineer-to-order products</x:v>
      </x:c>
      <x:c r="C28" s="101" t="n">
        <x:v>0</x:v>
      </x:c>
      <x:c r="D28" s="101" t="n">
        <x:v>2</x:v>
      </x:c>
      <x:c r="E28" s="101" t="n">
        <x:v>0</x:v>
      </x:c>
      <x:c r="F28" s="102" t="str">
        <x:v>0 / 1 / 2</x:v>
      </x:c>
    </x:row>
    <x:row r="29" ht="42" customHeight="1">
      <x:c r="A29" s="100" t="n">
        <x:v>8</x:v>
      </x:c>
      <x:c r="B29" s="125" t="str">
        <x:v>Manage configuration revisions and technical validation</x:v>
      </x:c>
      <x:c r="C29" s="101" t="n">
        <x:v>0</x:v>
      </x:c>
      <x:c r="D29" s="101" t="n">
        <x:v>1</x:v>
      </x:c>
      <x:c r="E29" s="101" t="n">
        <x:v>0</x:v>
      </x:c>
      <x:c r="F29" s="102" t="str">
        <x:v>0 / 1 / 2</x:v>
      </x:c>
    </x:row>
    <x:row r="30" ht="42" customHeight="1">
      <x:c r="A30" s="100" t="n">
        <x:v>9</x:v>
      </x:c>
      <x:c r="B30" s="125" t="str">
        <x:v>Apply price lists, customer-specific pricing, currencies, discounts and margins</x:v>
      </x:c>
      <x:c r="C30" s="101" t="n">
        <x:v>0</x:v>
      </x:c>
      <x:c r="D30" s="101" t="n">
        <x:v>0</x:v>
      </x:c>
      <x:c r="E30" s="101" t="n">
        <x:v>3</x:v>
      </x:c>
      <x:c r="F30" s="102" t="str">
        <x:v>0 / 1 / 2</x:v>
      </x:c>
    </x:row>
    <x:row r="31" ht="42" customHeight="1">
      <x:c r="A31" s="100" t="n">
        <x:v>10</x:v>
      </x:c>
      <x:c r="B31" s="125" t="str">
        <x:v>Trigger approval from margin, discount, floor price, deal value or commercial risk</x:v>
      </x:c>
      <x:c r="C31" s="101" t="n">
        <x:v>0</x:v>
      </x:c>
      <x:c r="D31" s="101" t="n">
        <x:v>0</x:v>
      </x:c>
      <x:c r="E31" s="101" t="n">
        <x:v>3</x:v>
      </x:c>
      <x:c r="F31" s="102" t="str">
        <x:v>0 / 1 / 2</x:v>
      </x:c>
    </x:row>
    <x:row r="32" ht="42" customHeight="1">
      <x:c r="A32" s="100" t="n">
        <x:v>11</x:v>
      </x:c>
      <x:c r="B32" s="125" t="str">
        <x:v>Validate quote completeness and preserve an explainable decision trace</x:v>
      </x:c>
      <x:c r="C32" s="101" t="n">
        <x:v>0</x:v>
      </x:c>
      <x:c r="D32" s="101" t="n">
        <x:v>0</x:v>
      </x:c>
      <x:c r="E32" s="101" t="n">
        <x:v>2</x:v>
      </x:c>
      <x:c r="F32" s="102" t="str">
        <x:v>0 / 1 / 2</x:v>
      </x:c>
    </x:row>
    <x:row r="33" ht="42" customHeight="1">
      <x:c r="A33" s="103" t="n">
        <x:v>12</x:v>
      </x:c>
      <x:c r="B33" s="126" t="str">
        <x:v>Produce customer-ready quote output from approved data</x:v>
      </x:c>
      <x:c r="C33" s="104" t="n">
        <x:v>0</x:v>
      </x:c>
      <x:c r="D33" s="104" t="n">
        <x:v>0</x:v>
      </x:c>
      <x:c r="E33" s="104" t="n">
        <x:v>1</x:v>
      </x:c>
      <x:c r="F33" s="105" t="str">
        <x:v>0 / 1 / 2</x:v>
      </x:c>
    </x:row>
    <x:row r="34">
      <x:c r="A34" s="271" t="str">
        <x:v>Maximum weighted score</x:v>
      </x:c>
      <x:c r="B34" s="272"/>
      <x:c r="C34" s="272" t="n">
        <x:v>16</x:v>
      </x:c>
      <x:c r="D34" s="272" t="n">
        <x:v>18</x:v>
      </x:c>
      <x:c r="E34" s="272" t="n">
        <x:v>18</x:v>
      </x:c>
      <x:c r="F34" s="273"/>
    </x:row>
    <x:row r="36" ht="24" customHeight="1">
      <x:c r="A36" s="55" t="str">
        <x:v>3. Intensity thresholds</x:v>
      </x:c>
      <x:c r="B36" s="55"/>
      <x:c r="C36" s="55"/>
      <x:c r="D36" s="55"/>
      <x:c r="E36" s="55"/>
      <x:c r="F36" s="55"/>
      <x:c r="G36" s="55"/>
      <x:c r="H36" s="55"/>
    </x:row>
    <x:row r="37">
      <x:c r="A37" s="97" t="str">
        <x:v>0–39</x:v>
      </x:c>
      <x:c r="B37" s="99" t="str">
        <x:v>Low requirement</x:v>
      </x:c>
      <x:c r="D37" s="392" t="str">
        <x:v>Core category: score &gt;= 65</x:v>
      </x:c>
      <x:c r="E37" s="393"/>
      <x:c r="F37" s="393"/>
      <x:c r="G37" s="393"/>
      <x:c r="H37" s="394"/>
    </x:row>
    <x:row r="38">
      <x:c r="A38" s="100" t="str">
        <x:v>40–64</x:v>
      </x:c>
      <x:c r="B38" s="102" t="str">
        <x:v>Moderate requirement</x:v>
      </x:c>
      <x:c r="D38" s="392" t="str">
        <x:v>Supporting category: score &gt;= 50 when only one other category is core</x:v>
      </x:c>
      <x:c r="E38" s="393"/>
      <x:c r="F38" s="393"/>
      <x:c r="G38" s="393"/>
      <x:c r="H38" s="394"/>
    </x:row>
    <x:row r="39">
      <x:c r="A39" s="103" t="str">
        <x:v>65–100</x:v>
      </x:c>
      <x:c r="B39" s="105" t="str">
        <x:v>High requirement</x:v>
      </x:c>
      <x:c r="D39" s="392" t="str">
        <x:v>40–49 = Requirement to validate; below 40 = No dedicated component indicated</x:v>
      </x:c>
      <x:c r="E39" s="393"/>
      <x:c r="F39" s="393"/>
      <x:c r="G39" s="393"/>
      <x:c r="H39" s="394"/>
    </x:row>
    <x:row r="42" ht="24" customHeight="1">
      <x:c r="A42" s="55" t="str">
        <x:v>4. Recommendation logic</x:v>
      </x:c>
      <x:c r="B42" s="55"/>
      <x:c r="C42" s="55"/>
      <x:c r="D42" s="55"/>
      <x:c r="E42" s="55"/>
      <x:c r="F42" s="55"/>
      <x:c r="G42" s="55"/>
      <x:c r="H42" s="55"/>
    </x:row>
    <x:row r="43">
      <x:c r="A43" s="161" t="str">
        <x:v>Two or more core categories → Combination of systems.</x:v>
      </x:c>
      <x:c r="B43" s="162"/>
      <x:c r="C43" s="162"/>
      <x:c r="D43" s="162"/>
      <x:c r="E43" s="162"/>
      <x:c r="F43" s="162"/>
      <x:c r="G43" s="162"/>
      <x:c r="H43" s="163"/>
    </x:row>
    <x:row r="44">
      <x:c r="A44" s="161" t="str">
        <x:v>Exactly one core category → the core category is the recommendation; a category at 50–64 can be supporting.</x:v>
      </x:c>
      <x:c r="B44" s="162"/>
      <x:c r="C44" s="162"/>
      <x:c r="D44" s="162"/>
      <x:c r="E44" s="162"/>
      <x:c r="F44" s="162"/>
      <x:c r="G44" s="162"/>
      <x:c r="H44" s="163"/>
    </x:row>
    <x:row r="45">
      <x:c r="A45" s="161" t="str">
        <x:v>No core category → validate the highest requirement and use the primary bottleneck as the permitted tie-breaker.</x:v>
      </x:c>
      <x:c r="B45" s="162"/>
      <x:c r="C45" s="162"/>
      <x:c r="D45" s="162"/>
      <x:c r="E45" s="162"/>
      <x:c r="F45" s="162"/>
      <x:c r="G45" s="162"/>
      <x:c r="H45" s="163"/>
    </x:row>
    <x:row r="46">
      <x:c r="A46" s="161" t="str">
        <x:v>Primary bottleneck is used only when the top two scores differ by seven points or less, or when no score reaches 65.</x:v>
      </x:c>
      <x:c r="B46" s="162"/>
      <x:c r="C46" s="162"/>
      <x:c r="D46" s="162"/>
      <x:c r="E46" s="162"/>
      <x:c r="F46" s="162"/>
      <x:c r="G46" s="162"/>
      <x:c r="H46" s="163"/>
    </x:row>
    <x:row r="47">
      <x:c r="A47" s="161" t="str">
        <x:v>Architecture preference and existing-system flags change architecture, gap and implementation wording, not the scores.</x:v>
      </x:c>
      <x:c r="B47" s="162"/>
      <x:c r="C47" s="162"/>
      <x:c r="D47" s="162"/>
      <x:c r="E47" s="162"/>
      <x:c r="F47" s="162"/>
      <x:c r="G47" s="162"/>
      <x:c r="H47" s="163"/>
    </x:row>
    <x:row r="50" ht="24" customHeight="1">
      <x:c r="A50" s="55" t="str">
        <x:v>5. Adjacent systems</x:v>
      </x:c>
      <x:c r="B50" s="55"/>
      <x:c r="C50" s="55"/>
      <x:c r="D50" s="55"/>
      <x:c r="E50" s="55"/>
      <x:c r="F50" s="55"/>
      <x:c r="G50" s="55"/>
      <x:c r="H50" s="55"/>
    </x:row>
    <x:row r="51">
      <x:c r="A51" s="298" t="str">
        <x:v>ERP/MRP, MES, CAD/PLM, CRM and proposal/document systems can remain authoritative for adjacent data and processes. A recommended estimating, configuration or quoting component should not automatically replace these systems. The implementation must define source data, target data, handoff timing and the evidence retained at each boundary.</x:v>
      </x:c>
      <x:c r="B51" s="299"/>
      <x:c r="C51" s="299"/>
      <x:c r="D51" s="299"/>
      <x:c r="E51" s="299"/>
      <x:c r="F51" s="299"/>
      <x:c r="G51" s="299"/>
      <x:c r="H51" s="300"/>
    </x:row>
    <x:row r="52">
      <x:c r="A52" s="301"/>
      <x:c r="B52" s="302"/>
      <x:c r="C52" s="302"/>
      <x:c r="D52" s="302"/>
      <x:c r="E52" s="302"/>
      <x:c r="F52" s="302"/>
      <x:c r="G52" s="302"/>
      <x:c r="H52" s="303"/>
    </x:row>
    <x:row r="53">
      <x:c r="A53" s="301"/>
      <x:c r="B53" s="302"/>
      <x:c r="C53" s="302"/>
      <x:c r="D53" s="302"/>
      <x:c r="E53" s="302"/>
      <x:c r="F53" s="302"/>
      <x:c r="G53" s="302"/>
      <x:c r="H53" s="303"/>
    </x:row>
    <x:row r="54">
      <x:c r="A54" s="304"/>
      <x:c r="B54" s="305"/>
      <x:c r="C54" s="305"/>
      <x:c r="D54" s="305"/>
      <x:c r="E54" s="305"/>
      <x:c r="F54" s="305"/>
      <x:c r="G54" s="305"/>
      <x:c r="H54" s="306"/>
    </x:row>
    <x:row r="56" ht="24" customHeight="1">
      <x:c r="A56" s="55" t="str">
        <x:v>6. Limitations</x:v>
      </x:c>
      <x:c r="B56" s="55"/>
      <x:c r="C56" s="55"/>
      <x:c r="D56" s="55"/>
      <x:c r="E56" s="55"/>
      <x:c r="F56" s="55"/>
      <x:c r="G56" s="55"/>
      <x:c r="H56" s="55"/>
    </x:row>
    <x:row r="57">
      <x:c r="A57" s="427" t="str">
        <x:v>Why this workbook does not provide a software benchmark
The scores measure the intensity of the user’s stated requirements. They do not compare vendors, implementation quality, total cost of ownership, industry fit or product maturity.</x:v>
      </x:c>
      <x:c r="B57" s="428"/>
      <x:c r="C57" s="428"/>
      <x:c r="D57" s="428"/>
      <x:c r="E57" s="428"/>
      <x:c r="F57" s="428"/>
      <x:c r="G57" s="428"/>
      <x:c r="H57" s="429"/>
    </x:row>
    <x:row r="58">
      <x:c r="A58" s="430"/>
      <x:c r="B58" s="431"/>
      <x:c r="C58" s="431"/>
      <x:c r="D58" s="431"/>
      <x:c r="E58" s="431"/>
      <x:c r="F58" s="431"/>
      <x:c r="G58" s="431"/>
      <x:c r="H58" s="432"/>
    </x:row>
    <x:row r="59">
      <x:c r="A59" s="433"/>
      <x:c r="B59" s="434"/>
      <x:c r="C59" s="434"/>
      <x:c r="D59" s="434"/>
      <x:c r="E59" s="434"/>
      <x:c r="F59" s="434"/>
      <x:c r="G59" s="434"/>
      <x:c r="H59" s="435"/>
    </x:row>
    <x:row r="61" ht="24" customHeight="1">
      <x:c r="A61" s="55" t="str">
        <x:v>Configure to WIN resources</x:v>
      </x:c>
      <x:c r="B61" s="55"/>
      <x:c r="C61" s="55"/>
      <x:c r="D61" s="55"/>
      <x:c r="E61" s="55"/>
      <x:c r="F61" s="55"/>
      <x:c r="G61" s="55"/>
      <x:c r="H61" s="55"/>
    </x:row>
    <x:row r="62">
      <x:c r="A62" s="335" t="str">
        <x:v>https://configure.win/resources/manufacturing-software-decision-tool</x:v>
      </x:c>
      <x:c r="B62" s="335"/>
      <x:c r="C62" s="335"/>
      <x:c r="D62" s="335"/>
      <x:c r="E62" s="335"/>
      <x:c r="F62" s="335"/>
      <x:c r="G62" s="335"/>
      <x:c r="H62" s="335"/>
    </x:row>
    <x:row r="63">
      <x:c r="A63" s="335" t="str">
        <x:v>https://configure.win/resources/manufacturing-quoting-software-vs-estimating-software</x:v>
      </x:c>
      <x:c r="B63" s="335"/>
      <x:c r="C63" s="335"/>
      <x:c r="D63" s="335"/>
      <x:c r="E63" s="335"/>
      <x:c r="F63" s="335"/>
      <x:c r="G63" s="335"/>
      <x:c r="H63" s="335"/>
    </x:row>
    <x:row r="64">
      <x:c r="A64" s="335" t="str">
        <x:v>https://configure.win/quoting-software-for-manufacturing</x:v>
      </x:c>
      <x:c r="B64" s="335"/>
      <x:c r="C64" s="335"/>
      <x:c r="D64" s="335"/>
      <x:c r="E64" s="335"/>
      <x:c r="F64" s="335"/>
      <x:c r="G64" s="335"/>
      <x:c r="H64" s="335"/>
    </x:row>
    <x:row r="66" ht="24" customHeight="1">
      <x:c r="A66" s="466" t="str">
        <x:v>About this workbook</x:v>
      </x:c>
      <x:c r="B66" s="466"/>
      <x:c r="C66" s="466"/>
      <x:c r="D66" s="466"/>
      <x:c r="E66" s="466"/>
      <x:c r="F66" s="466"/>
      <x:c r="G66" s="466"/>
      <x:c r="H66" s="466"/>
    </x:row>
    <x:row r="67" ht="24" customHeight="1">
      <x:c r="A67" s="471" t="str">
        <x:v>Tool</x:v>
      </x:c>
      <x:c r="B67" s="472"/>
      <x:c r="C67" s="480" t="str">
        <x:v>Manufacturing Software Decision Tool: Estimating vs Quoting vs CPQ</x:v>
      </x:c>
      <x:c r="D67" s="481"/>
      <x:c r="E67" s="481"/>
      <x:c r="F67" s="481"/>
      <x:c r="G67" s="481"/>
      <x:c r="H67" s="482"/>
    </x:row>
    <x:row r="68" ht="24" customHeight="1">
      <x:c r="A68" s="471" t="str">
        <x:v>Version</x:v>
      </x:c>
      <x:c r="B68" s="472"/>
      <x:c r="C68" s="480" t="str">
        <x:v>1.0.0</x:v>
      </x:c>
      <x:c r="D68" s="481"/>
      <x:c r="E68" s="481"/>
      <x:c r="F68" s="481"/>
      <x:c r="G68" s="481"/>
      <x:c r="H68" s="482"/>
    </x:row>
    <x:row r="69" ht="24" customHeight="1">
      <x:c r="A69" s="471" t="str">
        <x:v>Publisher</x:v>
      </x:c>
      <x:c r="B69" s="472"/>
      <x:c r="C69" s="480" t="str">
        <x:v>Configure to WIN</x:v>
      </x:c>
      <x:c r="D69" s="481"/>
      <x:c r="E69" s="481"/>
      <x:c r="F69" s="481"/>
      <x:c r="G69" s="481"/>
      <x:c r="H69" s="482"/>
    </x:row>
    <x:row r="70" ht="24" customHeight="1">
      <x:c r="A70" s="471" t="str">
        <x:v>Official online version</x:v>
      </x:c>
      <x:c r="B70" s="472"/>
      <x:c r="C70" s="490" t="str">
        <x:v>https://configure.win/resources/manufacturing-software-decision-tool</x:v>
      </x:c>
      <x:c r="D70" s="491"/>
      <x:c r="E70" s="491"/>
      <x:c r="F70" s="491"/>
      <x:c r="G70" s="491"/>
      <x:c r="H70" s="492"/>
    </x:row>
    <x:row r="71" ht="24" customHeight="1">
      <x:c r="A71" s="471" t="str">
        <x:v>Last updated</x:v>
      </x:c>
      <x:c r="B71" s="472"/>
      <x:c r="C71" s="480" t="str">
        <x:v>25 July 2026</x:v>
      </x:c>
      <x:c r="D71" s="481"/>
      <x:c r="E71" s="481"/>
      <x:c r="F71" s="481"/>
      <x:c r="G71" s="481"/>
      <x:c r="H71" s="482"/>
    </x:row>
    <x:row r="72" ht="24" customHeight="1">
      <x:c r="A72" s="471" t="str">
        <x:v>Keywords</x:v>
      </x:c>
      <x:c r="B72" s="472"/>
      <x:c r="C72" s="480" t="str">
        <x:v>manufacturing estimating, manufacturing quoting, CPQ, product configuration, requirements matrix, process ownership</x:v>
      </x:c>
      <x:c r="D72" s="481"/>
      <x:c r="E72" s="481"/>
      <x:c r="F72" s="481"/>
      <x:c r="G72" s="481"/>
      <x:c r="H72" s="482"/>
    </x:row>
    <x:row r="74" ht="28" customHeight="1">
      <x:c r="A74" s="501" t="str">
        <x:v>This workbook is provided as a practical assessment, requirements-planning and process-ownership tool.</x:v>
      </x:c>
      <x:c r="B74" s="502"/>
      <x:c r="C74" s="502"/>
      <x:c r="D74" s="502"/>
      <x:c r="E74" s="502"/>
      <x:c r="F74" s="502"/>
      <x:c r="G74" s="502"/>
      <x:c r="H74" s="503"/>
    </x:row>
    <x:row r="75" ht="28" customHeight="1">
      <x:c r="A75" s="501" t="str">
        <x:v>See LICENSE.md in the official GitHub repository for reuse terms.</x:v>
      </x:c>
      <x:c r="B75" s="502"/>
      <x:c r="C75" s="502"/>
      <x:c r="D75" s="502"/>
      <x:c r="E75" s="502"/>
      <x:c r="F75" s="502"/>
      <x:c r="G75" s="502"/>
      <x:c r="H75" s="503"/>
    </x:row>
  </x:sheetData>
  <x:mergeCells>
    <x:mergeCell ref="A1:H1"/>
    <x:mergeCell ref="A2:H2"/>
    <x:mergeCell ref="A3:H3"/>
    <x:mergeCell ref="A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A16:H16"/>
    <x:mergeCell ref="A17:H19"/>
    <x:mergeCell ref="A36:H36"/>
    <x:mergeCell ref="D37:H37"/>
    <x:mergeCell ref="D38:H38"/>
    <x:mergeCell ref="D39:H39"/>
    <x:mergeCell ref="A42:H42"/>
    <x:mergeCell ref="A43:H43"/>
    <x:mergeCell ref="A44:H44"/>
    <x:mergeCell ref="A45:H45"/>
    <x:mergeCell ref="A46:H46"/>
    <x:mergeCell ref="A47:H47"/>
    <x:mergeCell ref="A50:H50"/>
    <x:mergeCell ref="A51:H54"/>
    <x:mergeCell ref="A56:H56"/>
    <x:mergeCell ref="A57:H59"/>
    <x:mergeCell ref="A61:H61"/>
    <x:mergeCell ref="A62:H62"/>
    <x:mergeCell ref="A63:H63"/>
    <x:mergeCell ref="A64:H64"/>
    <x:mergeCell ref="A66:H66"/>
    <x:mergeCell ref="A67:B67"/>
    <x:mergeCell ref="C67:H67"/>
    <x:mergeCell ref="A68:B68"/>
    <x:mergeCell ref="C68:H68"/>
    <x:mergeCell ref="A69:B69"/>
    <x:mergeCell ref="C69:H69"/>
    <x:mergeCell ref="A70:B70"/>
    <x:mergeCell ref="C70:H70"/>
    <x:mergeCell ref="A71:B71"/>
    <x:mergeCell ref="C71:H71"/>
    <x:mergeCell ref="A72:B72"/>
    <x:mergeCell ref="C72:H72"/>
    <x:mergeCell ref="A74:H74"/>
    <x:mergeCell ref="A75:H75"/>
  </x:mergeCells>
  <x:pageMargins left="0.7" right="0.7" top="0.75" bottom="0.75" header="0.3" footer="0.3"/>
  <x:tableParts count="1">
    <x:tablePart xmlns:r="http://schemas.openxmlformats.org/officeDocument/2006/relationships" r:id="R1edbf5d80043407b"/>
  </x:tableParts>
</x:worksheet>
</file>